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\\192.168.1.162\naumur - travaux en cours\Projets\PROJET PADESCE\Cellule informatique\"/>
    </mc:Choice>
  </mc:AlternateContent>
  <xr:revisionPtr revIDLastSave="0" documentId="13_ncr:1_{1C6C5190-254F-4487-AD43-0B3698767BAB}" xr6:coauthVersionLast="47" xr6:coauthVersionMax="47" xr10:uidLastSave="{00000000-0000-0000-0000-000000000000}"/>
  <bookViews>
    <workbookView xWindow="-120" yWindow="-120" windowWidth="20730" windowHeight="11040" activeTab="2" xr2:uid="{CEE973B9-CEB6-491F-8680-96DA29CB6D21}"/>
  </bookViews>
  <sheets>
    <sheet name="Feuil1" sheetId="1" r:id="rId1"/>
    <sheet name="Enquête de satisfaction" sheetId="16" r:id="rId2"/>
    <sheet name="Enquête de formateur" sheetId="15" r:id="rId3"/>
  </sheets>
  <externalReferences>
    <externalReference r:id="rId4"/>
    <externalReference r:id="rId5"/>
  </externalReferences>
  <calcPr calcId="191029" iterate="1"/>
  <pivotCaches>
    <pivotCache cacheId="1" r:id="rId6"/>
    <pivotCache cacheId="2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lasses_62ef42f8-bf9a-4ec8-be47-ccdc52ae2e3a" name="Classes" connection="Requête - Class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A153" i="15" s="1"/>
  <c r="A154" i="15" s="1"/>
  <c r="A155" i="15" s="1"/>
  <c r="A156" i="15" s="1"/>
  <c r="A157" i="15" s="1"/>
  <c r="A158" i="15" s="1"/>
  <c r="A159" i="15" s="1"/>
  <c r="A160" i="15" s="1"/>
  <c r="A161" i="15" s="1"/>
  <c r="A162" i="15" s="1"/>
  <c r="A163" i="15" s="1"/>
  <c r="A164" i="15" s="1"/>
  <c r="A165" i="15" s="1"/>
  <c r="A166" i="15" s="1"/>
  <c r="A167" i="15" s="1"/>
  <c r="A168" i="15" s="1"/>
  <c r="A169" i="15" s="1"/>
  <c r="A170" i="15" s="1"/>
  <c r="A171" i="15" s="1"/>
  <c r="A172" i="15" s="1"/>
  <c r="A173" i="15" s="1"/>
  <c r="A174" i="15" s="1"/>
  <c r="A175" i="15" s="1"/>
  <c r="A176" i="15" s="1"/>
  <c r="A177" i="15" s="1"/>
  <c r="A178" i="15" s="1"/>
  <c r="A179" i="15" s="1"/>
  <c r="A180" i="15" s="1"/>
  <c r="A181" i="15" s="1"/>
  <c r="A182" i="15" s="1"/>
  <c r="A183" i="15" s="1"/>
  <c r="A184" i="15" s="1"/>
  <c r="A185" i="15" s="1"/>
  <c r="A186" i="15" s="1"/>
  <c r="A187" i="15" s="1"/>
  <c r="A188" i="15" s="1"/>
  <c r="A189" i="15" s="1"/>
  <c r="A190" i="15" s="1"/>
  <c r="A191" i="15" s="1"/>
  <c r="A192" i="15" s="1"/>
  <c r="A193" i="15" s="1"/>
  <c r="A194" i="15" s="1"/>
  <c r="A195" i="15" s="1"/>
  <c r="A196" i="15" s="1"/>
  <c r="A197" i="15" s="1"/>
  <c r="A198" i="15" s="1"/>
  <c r="A199" i="15" s="1"/>
  <c r="A200" i="15" s="1"/>
  <c r="A201" i="15" s="1"/>
  <c r="A202" i="15" s="1"/>
  <c r="A203" i="15" s="1"/>
  <c r="A204" i="15" s="1"/>
  <c r="A205" i="15" s="1"/>
  <c r="A206" i="15" s="1"/>
  <c r="A207" i="15" s="1"/>
  <c r="A208" i="15" s="1"/>
  <c r="A209" i="15" s="1"/>
  <c r="A210" i="15" s="1"/>
  <c r="A211" i="15" s="1"/>
  <c r="A212" i="15" s="1"/>
  <c r="A213" i="15" s="1"/>
  <c r="A214" i="15" s="1"/>
  <c r="A215" i="15" s="1"/>
  <c r="A216" i="15" s="1"/>
  <c r="A217" i="15" s="1"/>
  <c r="A218" i="15" s="1"/>
  <c r="A219" i="15" s="1"/>
  <c r="A220" i="15" s="1"/>
  <c r="A221" i="15" s="1"/>
  <c r="A222" i="15" s="1"/>
  <c r="A223" i="15" s="1"/>
  <c r="A224" i="15" s="1"/>
  <c r="A225" i="15" s="1"/>
  <c r="A226" i="15" s="1"/>
  <c r="A227" i="15" s="1"/>
  <c r="A228" i="15" s="1"/>
  <c r="A229" i="15" s="1"/>
  <c r="A5" i="15"/>
  <c r="D4" i="15"/>
  <c r="D5" i="15" l="1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126" i="15"/>
  <c r="F127" i="15"/>
  <c r="F128" i="15"/>
  <c r="F129" i="15"/>
  <c r="F130" i="15"/>
  <c r="F131" i="15"/>
  <c r="F132" i="15"/>
  <c r="F133" i="15"/>
  <c r="F134" i="15"/>
  <c r="F135" i="15"/>
  <c r="F136" i="15"/>
  <c r="F137" i="15"/>
  <c r="F138" i="15"/>
  <c r="F139" i="15"/>
  <c r="F140" i="15"/>
  <c r="F141" i="15"/>
  <c r="F142" i="15"/>
  <c r="F143" i="15"/>
  <c r="F144" i="15"/>
  <c r="F145" i="15"/>
  <c r="F146" i="15"/>
  <c r="F147" i="15"/>
  <c r="F148" i="15"/>
  <c r="F149" i="15"/>
  <c r="F150" i="15"/>
  <c r="F151" i="15"/>
  <c r="F152" i="15"/>
  <c r="F153" i="15"/>
  <c r="F154" i="15"/>
  <c r="F155" i="15"/>
  <c r="F156" i="15"/>
  <c r="F157" i="15"/>
  <c r="F158" i="15"/>
  <c r="F159" i="15"/>
  <c r="F160" i="15"/>
  <c r="F161" i="15"/>
  <c r="F162" i="15"/>
  <c r="F163" i="15"/>
  <c r="F164" i="15"/>
  <c r="F165" i="15"/>
  <c r="F166" i="15"/>
  <c r="F167" i="15"/>
  <c r="F168" i="15"/>
  <c r="F169" i="15"/>
  <c r="F170" i="15"/>
  <c r="F171" i="15"/>
  <c r="F172" i="15"/>
  <c r="F173" i="15"/>
  <c r="F174" i="15"/>
  <c r="F175" i="15"/>
  <c r="F176" i="15"/>
  <c r="F177" i="15"/>
  <c r="F178" i="15"/>
  <c r="F179" i="15"/>
  <c r="F180" i="15"/>
  <c r="F181" i="15"/>
  <c r="F182" i="15"/>
  <c r="F183" i="15"/>
  <c r="F184" i="15"/>
  <c r="F185" i="15"/>
  <c r="F186" i="15"/>
  <c r="F187" i="15"/>
  <c r="F188" i="15"/>
  <c r="F189" i="15"/>
  <c r="F190" i="15"/>
  <c r="F191" i="15"/>
  <c r="F192" i="15"/>
  <c r="F193" i="15"/>
  <c r="F194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225" i="15"/>
  <c r="F226" i="15"/>
  <c r="F227" i="15"/>
  <c r="F228" i="15"/>
  <c r="F229" i="15"/>
  <c r="F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4" i="15"/>
  <c r="F3" i="1" l="1"/>
  <c r="G3" i="1"/>
  <c r="H3" i="1"/>
  <c r="G2" i="1"/>
  <c r="H2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1E53B8-207D-45A0-8083-B1F5D50AEFF7}" sourceFile="\\192.168.1.162\naumur - travaux en cours\Projets\PROJET PADESCE\Cellule informatique\Operation\CutOff\fichier consolidé CutOff.xlsm" keepAlive="1" name="fichier consolidé CutOff" type="5" refreshedVersion="8" background="1">
    <dbPr connection="Provider=Microsoft.ACE.OLEDB.12.0;User ID=Admin;Data Source=\\192.168.1.162\naumur - travaux en cours\Projets\PROJET PADESCE\Cellule informatique\Operation\CutOff\fichier consolidé CutOff.xlsm;Mode=Share Deny Write;Extended Properties=&quot;HDR=YES;&quot;;Jet OLEDB:System database=&quot;&quot;;Jet OLEDB:Registry Path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Classes$" commandType="3"/>
  </connection>
  <connection id="2" xr16:uid="{9A8F0447-D186-4DA5-AFEE-C8F61ED99465}" sourceFile="\\192.168.1.162\naumur - travaux en cours\Projets\PROJET PADESCE\Cellule informatique\Operation\CutOff\fichier consolidé CutOff.xlsm" keepAlive="1" name="fichier consolidé CutOff1" type="5" refreshedVersion="8" background="1">
    <dbPr connection="Provider=Microsoft.ACE.OLEDB.12.0;User ID=Admin;Data Source=\\192.168.1.162\naumur - travaux en cours\Projets\PROJET PADESCE\Cellule informatique\Operation\CutOff\fichier consolidé CutOff.xlsm;Mode=Share Deny Write;Extended Properties=&quot;HDR=YES;&quot;;Jet OLEDB:System database=&quot;&quot;;Jet OLEDB:Registry Path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Classes$" commandType="3"/>
  </connection>
  <connection id="3" xr16:uid="{52BB88F9-1202-4966-9CD2-28F09BF0FD22}" name="Requête - Classes" description="Connexion à la requête « Classes » dans le classeur." type="100" refreshedVersion="8" minRefreshableVersion="5">
    <extLst>
      <ext xmlns:x15="http://schemas.microsoft.com/office/spreadsheetml/2010/11/main" uri="{DE250136-89BD-433C-8126-D09CA5730AF9}">
        <x15:connection id="64bd527a-f350-448f-abbe-1b7eafbe64a1"/>
      </ext>
    </extLst>
  </connection>
  <connection id="4" xr16:uid="{46187C1F-1FE1-4E59-A583-0C0203A6858D}" keepAlive="1" name="ThisWorkbookDataModel" description="Modèle de donnée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Classes].[Total classe de la prestation termine].&amp;[True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<sst xmlns="http://schemas.openxmlformats.org/spreadsheetml/2006/main" count="986" uniqueCount="373">
  <si>
    <t>inscrits</t>
  </si>
  <si>
    <t>Nbre d'appels effectués</t>
  </si>
  <si>
    <t>Nombre de réponses</t>
  </si>
  <si>
    <t>% appel</t>
  </si>
  <si>
    <t>%réponse</t>
  </si>
  <si>
    <t>%enquêtes</t>
  </si>
  <si>
    <t>Prestation 1</t>
  </si>
  <si>
    <t>Classe001</t>
  </si>
  <si>
    <t>Classe002</t>
  </si>
  <si>
    <t>Classe003</t>
  </si>
  <si>
    <t>Classe004</t>
  </si>
  <si>
    <t>Classe005</t>
  </si>
  <si>
    <t>Classe006</t>
  </si>
  <si>
    <t>Classe007</t>
  </si>
  <si>
    <t>Prestation 2</t>
  </si>
  <si>
    <t>Classe008</t>
  </si>
  <si>
    <t>Classe009</t>
  </si>
  <si>
    <t>Classe010</t>
  </si>
  <si>
    <t>Classe011</t>
  </si>
  <si>
    <t>Classe012</t>
  </si>
  <si>
    <t>Classe013</t>
  </si>
  <si>
    <t>Classe014</t>
  </si>
  <si>
    <t>PRESTA001</t>
  </si>
  <si>
    <t>PRESTA003</t>
  </si>
  <si>
    <t>PRESTA008</t>
  </si>
  <si>
    <t>PRESTA010</t>
  </si>
  <si>
    <t>PRESTA012</t>
  </si>
  <si>
    <t>PRESTA017</t>
  </si>
  <si>
    <t>PRESTA018</t>
  </si>
  <si>
    <t>PRESTA019</t>
  </si>
  <si>
    <t>PRESTA022</t>
  </si>
  <si>
    <t>PRESTA023</t>
  </si>
  <si>
    <t>PRESTA024</t>
  </si>
  <si>
    <t>PRESTA027</t>
  </si>
  <si>
    <t>PRESTA028</t>
  </si>
  <si>
    <t>PRESTA029</t>
  </si>
  <si>
    <t>PRESTA032</t>
  </si>
  <si>
    <t>PRESTA036</t>
  </si>
  <si>
    <t>PRESTA038</t>
  </si>
  <si>
    <t>PRESTA039</t>
  </si>
  <si>
    <t>PRESTA044</t>
  </si>
  <si>
    <t>PRESTA045</t>
  </si>
  <si>
    <t>PRESTA046</t>
  </si>
  <si>
    <t>PRESTA047</t>
  </si>
  <si>
    <t>PRESTA049</t>
  </si>
  <si>
    <t>PRESTA050</t>
  </si>
  <si>
    <t>PRESTA051</t>
  </si>
  <si>
    <t>PRESTA054</t>
  </si>
  <si>
    <t>PRESTA058</t>
  </si>
  <si>
    <t>PRESTA063</t>
  </si>
  <si>
    <t>PRESTA064</t>
  </si>
  <si>
    <t>PRESTA066</t>
  </si>
  <si>
    <t>PRESTA071</t>
  </si>
  <si>
    <t>PRESTA075</t>
  </si>
  <si>
    <t>PRESTA079</t>
  </si>
  <si>
    <t>PRESTA082</t>
  </si>
  <si>
    <t>PRESTA083</t>
  </si>
  <si>
    <t>PRESTA085</t>
  </si>
  <si>
    <t>PRESTA086</t>
  </si>
  <si>
    <t>PRESTA087</t>
  </si>
  <si>
    <t>PRESTA099</t>
  </si>
  <si>
    <t>PRESTA104</t>
  </si>
  <si>
    <t>PRESTA106</t>
  </si>
  <si>
    <t>PRESTA113</t>
  </si>
  <si>
    <t>PRESTA118</t>
  </si>
  <si>
    <t>PRESTA119</t>
  </si>
  <si>
    <t>PRESTA121</t>
  </si>
  <si>
    <t>PRESTA125</t>
  </si>
  <si>
    <t>PRESTA126</t>
  </si>
  <si>
    <t>PRESTA128</t>
  </si>
  <si>
    <t>PRESTA129</t>
  </si>
  <si>
    <t>PRESTA131</t>
  </si>
  <si>
    <t>PRESTA132</t>
  </si>
  <si>
    <t>PRESTA133</t>
  </si>
  <si>
    <t>PRESTA134</t>
  </si>
  <si>
    <t>PRESTA136</t>
  </si>
  <si>
    <t>PRESTA138</t>
  </si>
  <si>
    <t>PRESTA140</t>
  </si>
  <si>
    <t>PRESTA143</t>
  </si>
  <si>
    <t>PRESTA144</t>
  </si>
  <si>
    <t>PRESTA145</t>
  </si>
  <si>
    <t>PRESTA146</t>
  </si>
  <si>
    <t>PRESTA147</t>
  </si>
  <si>
    <t>PRESTA149</t>
  </si>
  <si>
    <t>PRESTA151</t>
  </si>
  <si>
    <t>PRESTA153</t>
  </si>
  <si>
    <t>PRESTA154</t>
  </si>
  <si>
    <t>PRESTA159</t>
  </si>
  <si>
    <t>PRESTA163</t>
  </si>
  <si>
    <t>PRESTA164</t>
  </si>
  <si>
    <t>PRESTA165</t>
  </si>
  <si>
    <t>PRESTA166</t>
  </si>
  <si>
    <t>PRESTA168</t>
  </si>
  <si>
    <t>PRESTA170</t>
  </si>
  <si>
    <t>PRESTA172</t>
  </si>
  <si>
    <t>PRESTA173</t>
  </si>
  <si>
    <t>CLA037</t>
  </si>
  <si>
    <t>CLA014</t>
  </si>
  <si>
    <t>CLA049</t>
  </si>
  <si>
    <t>CLA050</t>
  </si>
  <si>
    <t>CLA051</t>
  </si>
  <si>
    <t>CLA052</t>
  </si>
  <si>
    <t>CLA053</t>
  </si>
  <si>
    <t>CLA092</t>
  </si>
  <si>
    <t>CLA093</t>
  </si>
  <si>
    <t>CLA094</t>
  </si>
  <si>
    <t>CLA095</t>
  </si>
  <si>
    <t>CLA096</t>
  </si>
  <si>
    <t>CLA097</t>
  </si>
  <si>
    <t>CLA098</t>
  </si>
  <si>
    <t>CLA099</t>
  </si>
  <si>
    <t>CLA100</t>
  </si>
  <si>
    <t>CLA101</t>
  </si>
  <si>
    <t>CLA102</t>
  </si>
  <si>
    <t>CLA103</t>
  </si>
  <si>
    <t>CLA104</t>
  </si>
  <si>
    <t>CLA105</t>
  </si>
  <si>
    <t>CLA106</t>
  </si>
  <si>
    <t>CLA021</t>
  </si>
  <si>
    <t>CLA158</t>
  </si>
  <si>
    <t>CLA110</t>
  </si>
  <si>
    <t>CLA111</t>
  </si>
  <si>
    <t>CLA112</t>
  </si>
  <si>
    <t>CLA113</t>
  </si>
  <si>
    <t>CLA114</t>
  </si>
  <si>
    <t>CLA115</t>
  </si>
  <si>
    <t>CLA116</t>
  </si>
  <si>
    <t>CLA117</t>
  </si>
  <si>
    <t>CLA118</t>
  </si>
  <si>
    <t>CLA119</t>
  </si>
  <si>
    <t>CLA120</t>
  </si>
  <si>
    <t>CLA121</t>
  </si>
  <si>
    <t>CLA122</t>
  </si>
  <si>
    <t>CLA123</t>
  </si>
  <si>
    <t>CLA124</t>
  </si>
  <si>
    <t>CLA227</t>
  </si>
  <si>
    <t>CLA228</t>
  </si>
  <si>
    <t>CLA229</t>
  </si>
  <si>
    <t>CLA230</t>
  </si>
  <si>
    <t>CLA231</t>
  </si>
  <si>
    <t>CLA232</t>
  </si>
  <si>
    <t>CLA233</t>
  </si>
  <si>
    <t>CLA234</t>
  </si>
  <si>
    <t>CLA235</t>
  </si>
  <si>
    <t>CLA236</t>
  </si>
  <si>
    <t>CLA237</t>
  </si>
  <si>
    <t>CLA238</t>
  </si>
  <si>
    <t>CLA239</t>
  </si>
  <si>
    <t>CLA240</t>
  </si>
  <si>
    <t>CLA241</t>
  </si>
  <si>
    <t>CLA242</t>
  </si>
  <si>
    <t>CLA186</t>
  </si>
  <si>
    <t>CLA187</t>
  </si>
  <si>
    <t>CLA128</t>
  </si>
  <si>
    <t>CLA176</t>
  </si>
  <si>
    <t>CLA177</t>
  </si>
  <si>
    <t>CLA210</t>
  </si>
  <si>
    <t>CLA188</t>
  </si>
  <si>
    <t>CLA189</t>
  </si>
  <si>
    <t>CLA178</t>
  </si>
  <si>
    <t>CLA179</t>
  </si>
  <si>
    <t>CLA149</t>
  </si>
  <si>
    <t>CLA150</t>
  </si>
  <si>
    <t>CLA151</t>
  </si>
  <si>
    <t>CLA152</t>
  </si>
  <si>
    <t>CLA153</t>
  </si>
  <si>
    <t>CLA154</t>
  </si>
  <si>
    <t>CLA155</t>
  </si>
  <si>
    <t>CLA156</t>
  </si>
  <si>
    <t>CLA157</t>
  </si>
  <si>
    <t>CLA175</t>
  </si>
  <si>
    <t>CLA192</t>
  </si>
  <si>
    <t>CLA193</t>
  </si>
  <si>
    <t>CLA243</t>
  </si>
  <si>
    <t>CLA244</t>
  </si>
  <si>
    <t>CLA245</t>
  </si>
  <si>
    <t>CLA246</t>
  </si>
  <si>
    <t>CLA247</t>
  </si>
  <si>
    <t>CLA029</t>
  </si>
  <si>
    <t>CLA030</t>
  </si>
  <si>
    <t>CLA031</t>
  </si>
  <si>
    <t>CLA032</t>
  </si>
  <si>
    <t>CLA182</t>
  </si>
  <si>
    <t>CLA169</t>
  </si>
  <si>
    <t>CLA183</t>
  </si>
  <si>
    <t>CLA184</t>
  </si>
  <si>
    <t>CLA185</t>
  </si>
  <si>
    <t>CLA223</t>
  </si>
  <si>
    <t>CLA224</t>
  </si>
  <si>
    <t>CLA016</t>
  </si>
  <si>
    <t>CLA017</t>
  </si>
  <si>
    <t>CLA018</t>
  </si>
  <si>
    <t>CLA019</t>
  </si>
  <si>
    <t>CLA020</t>
  </si>
  <si>
    <t>CLA025</t>
  </si>
  <si>
    <t>CLA027</t>
  </si>
  <si>
    <t>CLA033</t>
  </si>
  <si>
    <t>CLA034</t>
  </si>
  <si>
    <t>CLA137</t>
  </si>
  <si>
    <t>CLA138</t>
  </si>
  <si>
    <t>CLA211</t>
  </si>
  <si>
    <t>CLA212</t>
  </si>
  <si>
    <t>CLA213</t>
  </si>
  <si>
    <t>CLA214</t>
  </si>
  <si>
    <t>CLA215</t>
  </si>
  <si>
    <t>CLA039</t>
  </si>
  <si>
    <t>CLA171</t>
  </si>
  <si>
    <t>CLA172</t>
  </si>
  <si>
    <t>CLA173</t>
  </si>
  <si>
    <t>CLA015</t>
  </si>
  <si>
    <t>CLA190</t>
  </si>
  <si>
    <t>CLA077</t>
  </si>
  <si>
    <t>CLA078</t>
  </si>
  <si>
    <t>CLA079</t>
  </si>
  <si>
    <t>CLA174</t>
  </si>
  <si>
    <t>CLA217</t>
  </si>
  <si>
    <t>CLA218</t>
  </si>
  <si>
    <t>CLA219</t>
  </si>
  <si>
    <t>CLA057</t>
  </si>
  <si>
    <t>CLA058</t>
  </si>
  <si>
    <t>CLA059</t>
  </si>
  <si>
    <t>CLA060</t>
  </si>
  <si>
    <t>CLA061</t>
  </si>
  <si>
    <t>CLA062</t>
  </si>
  <si>
    <t>CLA063</t>
  </si>
  <si>
    <t>CLA064</t>
  </si>
  <si>
    <t>CLA065</t>
  </si>
  <si>
    <t>CLA066</t>
  </si>
  <si>
    <t>CLA067</t>
  </si>
  <si>
    <t>CLA068</t>
  </si>
  <si>
    <t>CLA069</t>
  </si>
  <si>
    <t>CLA070</t>
  </si>
  <si>
    <t>CLA071</t>
  </si>
  <si>
    <t>CLA072</t>
  </si>
  <si>
    <t>CLA073</t>
  </si>
  <si>
    <t>CLA074</t>
  </si>
  <si>
    <t>CLA075</t>
  </si>
  <si>
    <t>CLA076</t>
  </si>
  <si>
    <t>CLA191</t>
  </si>
  <si>
    <t>CLA127</t>
  </si>
  <si>
    <t>CLA088</t>
  </si>
  <si>
    <t>CLA089</t>
  </si>
  <si>
    <t>CLA090</t>
  </si>
  <si>
    <t>CLA091</t>
  </si>
  <si>
    <t>CLA013</t>
  </si>
  <si>
    <t>CLA258</t>
  </si>
  <si>
    <t>CLA259</t>
  </si>
  <si>
    <t>CLA260</t>
  </si>
  <si>
    <t>CLA261</t>
  </si>
  <si>
    <t>CLA216</t>
  </si>
  <si>
    <t>CLA046</t>
  </si>
  <si>
    <t>CLA047</t>
  </si>
  <si>
    <t>CLA048</t>
  </si>
  <si>
    <t>CLA139</t>
  </si>
  <si>
    <t>CLA140</t>
  </si>
  <si>
    <t>CLA141</t>
  </si>
  <si>
    <t>CLA142</t>
  </si>
  <si>
    <t>CLA143</t>
  </si>
  <si>
    <t>CLA144</t>
  </si>
  <si>
    <t>CLA145</t>
  </si>
  <si>
    <t>CLA146</t>
  </si>
  <si>
    <t>CLA147</t>
  </si>
  <si>
    <t>CLA148</t>
  </si>
  <si>
    <t>CLA170</t>
  </si>
  <si>
    <t>CLA199</t>
  </si>
  <si>
    <t>CLA129</t>
  </si>
  <si>
    <t>CLA196</t>
  </si>
  <si>
    <t>CLA197</t>
  </si>
  <si>
    <t>CLA198</t>
  </si>
  <si>
    <t>CLA042</t>
  </si>
  <si>
    <t>CLA043</t>
  </si>
  <si>
    <t>CLA044</t>
  </si>
  <si>
    <t>CLA045</t>
  </si>
  <si>
    <t>CLA084</t>
  </si>
  <si>
    <t>CLA085</t>
  </si>
  <si>
    <t>CLA086</t>
  </si>
  <si>
    <t>CLA087</t>
  </si>
  <si>
    <t>CLA250</t>
  </si>
  <si>
    <t>CLA036</t>
  </si>
  <si>
    <t>CLA181</t>
  </si>
  <si>
    <t>CLA248</t>
  </si>
  <si>
    <t>CLA035</t>
  </si>
  <si>
    <t>CLA226</t>
  </si>
  <si>
    <t>CLA080</t>
  </si>
  <si>
    <t>CLA081</t>
  </si>
  <si>
    <t>CLA082</t>
  </si>
  <si>
    <t>CLA083</t>
  </si>
  <si>
    <t>CLA249</t>
  </si>
  <si>
    <t>CLA028</t>
  </si>
  <si>
    <t>CLA054</t>
  </si>
  <si>
    <t>CLA056</t>
  </si>
  <si>
    <t>CLA225</t>
  </si>
  <si>
    <t>CLA222</t>
  </si>
  <si>
    <t>CLA221</t>
  </si>
  <si>
    <t>CLA055</t>
  </si>
  <si>
    <t>CLA022</t>
  </si>
  <si>
    <t>CLA023</t>
  </si>
  <si>
    <t>CLA038</t>
  </si>
  <si>
    <t>CLA126</t>
  </si>
  <si>
    <t>CLA194</t>
  </si>
  <si>
    <t>CLA195</t>
  </si>
  <si>
    <t>CLA012</t>
  </si>
  <si>
    <t>CLA130</t>
  </si>
  <si>
    <t>CLA200</t>
  </si>
  <si>
    <t>CLA131</t>
  </si>
  <si>
    <t>CLA132</t>
  </si>
  <si>
    <t>CLA133</t>
  </si>
  <si>
    <t>CLA134</t>
  </si>
  <si>
    <t>CLA135</t>
  </si>
  <si>
    <t>CLA136</t>
  </si>
  <si>
    <t>CLA180</t>
  </si>
  <si>
    <t>CLA011</t>
  </si>
  <si>
    <t>CLA107</t>
  </si>
  <si>
    <t>CLA108</t>
  </si>
  <si>
    <t>CLA109</t>
  </si>
  <si>
    <t>CLA024</t>
  </si>
  <si>
    <t>CLA125</t>
  </si>
  <si>
    <t>CLA040</t>
  </si>
  <si>
    <t>CLA041</t>
  </si>
  <si>
    <t>CLA026</t>
  </si>
  <si>
    <t>Prestation ID</t>
  </si>
  <si>
    <t>Classe ID</t>
  </si>
  <si>
    <t>PRESTA158</t>
  </si>
  <si>
    <t>CLA300</t>
  </si>
  <si>
    <t>CLA301</t>
  </si>
  <si>
    <t>Selon Calendrier</t>
  </si>
  <si>
    <t>Selon Descente</t>
  </si>
  <si>
    <t>Nom Formateur N1</t>
  </si>
  <si>
    <t>Numero formateur  N1</t>
  </si>
  <si>
    <t>Nom Formateur N2</t>
  </si>
  <si>
    <t>Numero formateur  N2</t>
  </si>
  <si>
    <t>Total classe de la prestation termine</t>
  </si>
  <si>
    <t>TRUE</t>
  </si>
  <si>
    <t>Lien de la classe</t>
  </si>
  <si>
    <t>Nom du Beneficiaire</t>
  </si>
  <si>
    <t>Nom du prestataire</t>
  </si>
  <si>
    <t>CAMARA MARCUS</t>
  </si>
  <si>
    <t>HAMZA ISMEALA</t>
  </si>
  <si>
    <t>Yaya zatao </t>
  </si>
  <si>
    <t xml:space="preserve">ABADA Eyono </t>
  </si>
  <si>
    <t xml:space="preserve">SIEWE MOUGOUE Armand Paulin </t>
  </si>
  <si>
    <t xml:space="preserve">ABADA Evrard </t>
  </si>
  <si>
    <t>Nzokou</t>
  </si>
  <si>
    <t>Nom Formateur N3</t>
  </si>
  <si>
    <t>Numero formateur  N3</t>
  </si>
  <si>
    <t>Nom Formateur N4</t>
  </si>
  <si>
    <t>Numero formateur  N4</t>
  </si>
  <si>
    <t>Inindama christine</t>
  </si>
  <si>
    <t>SYAPZE Ivan Perrin</t>
  </si>
  <si>
    <t>NGO NBOUS JEANNE</t>
  </si>
  <si>
    <t>Ndula Brandon Titata</t>
  </si>
  <si>
    <t>ONGUENE ONANA Cyrille</t>
  </si>
  <si>
    <t>698 57 56 52</t>
  </si>
  <si>
    <t>MEKE MARINA</t>
  </si>
  <si>
    <t>6 57 23 73 76</t>
  </si>
  <si>
    <t>Patricia Hanna</t>
  </si>
  <si>
    <t>699197407/654424953</t>
  </si>
  <si>
    <t>Nsola Alex</t>
  </si>
  <si>
    <t>Donald Kevin Mbiagnia</t>
  </si>
  <si>
    <t>Mouluoin Abdou</t>
  </si>
  <si>
    <t>YOKBAG Félicite Teclaire</t>
  </si>
  <si>
    <t>ASSOUMOU RODRIGUE MICHEL B</t>
  </si>
  <si>
    <t>Dr Lobe Constant</t>
  </si>
  <si>
    <t>Wambo Pierre Robusme</t>
  </si>
  <si>
    <t>Petnzi</t>
  </si>
  <si>
    <t>Ouambo Kamga Pierre</t>
  </si>
  <si>
    <t>ATEBA Eugéne</t>
  </si>
  <si>
    <t>Pierre Ngouani</t>
  </si>
  <si>
    <t>Ngouani Pierre</t>
  </si>
  <si>
    <t>Nombre d'apprenant inscrit</t>
  </si>
  <si>
    <t>Nombre d'appels terminé</t>
  </si>
  <si>
    <t>% appel effectué</t>
  </si>
  <si>
    <t>% appel terminé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</si>
</sst>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8">
    <border>
      <left/>
      <right/>
      <top/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9" fontId="0" fillId="0" borderId="1" xfId="1" applyFont="1" applyBorder="1"/>
    <xf numFmtId="0" fontId="0" fillId="0" borderId="0" xfId="0" pivotButton="1"/>
    <xf numFmtId="0" fontId="0" fillId="0" borderId="2" xfId="0" applyBorder="1"/>
    <xf numFmtId="0" fontId="3" fillId="2" borderId="2" xfId="0" applyFont="1" applyFill="1" applyBorder="1"/>
    <xf numFmtId="0" fontId="4" fillId="2" borderId="2" xfId="0" applyFont="1" applyFill="1" applyBorder="1"/>
    <xf numFmtId="0" fontId="6" fillId="0" borderId="2" xfId="2" applyBorder="1"/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</cellXfs>
  <cellStyles count="3">
    <cellStyle name="Lien hypertexte" xfId="2" builtinId="8"/>
    <cellStyle name="Normal" xfId="0" builtinId="0"/>
    <cellStyle name="Pourcentage" xfId="1" builtinId="5"/>
  </cellStyles>
  <dxfs count="166"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connections" Target="connections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ellule%20de%20coordination/DESCENTES%20CLASSES%20%20V15.xlsx" TargetMode="External"/><Relationship Id="rId2" Type="http://schemas.openxmlformats.org/officeDocument/2006/relationships/externalLinkPath" Target="file:///\\192.168.1.162\naumur%20-%20travaux%20en%20cours\Projets\PROJET%20PADESCE\Cellule%20de%20coordination\DESCENTES%20CLASSES%20%20V15.xlsx" TargetMode="External"/><Relationship Id="rId1" Type="http://schemas.openxmlformats.org/officeDocument/2006/relationships/externalLinkPath" Target="/Projets/PROJET%20PADESCE/Cellule%20de%20coordination/DESCENTES%20CLASSES%20%20V1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1.162\naumur%20-%20travaux%20en%20cours\Projets\PROJET%20PADESCE\Cellule%20informatique\Operation\CutOff\fichier%20consolid&#233;%20CutOff.xlsm" TargetMode="External"/><Relationship Id="rId1" Type="http://schemas.openxmlformats.org/officeDocument/2006/relationships/externalLinkPath" Target="Operation/CutOff/fichier%20consolid&#233;%20CutOff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TR PUB MAN"/>
      <sheetName val="filtre"/>
      <sheetName val="POWERSHELL"/>
      <sheetName val="STATS DE CLASSES"/>
      <sheetName val="POWERSHELL CSV"/>
      <sheetName val="Feuil3"/>
      <sheetName val="Feuil2"/>
      <sheetName val="PRESTA"/>
      <sheetName val="Feuil1"/>
      <sheetName val="Classes"/>
    </sheetNames>
    <sheetDataSet>
      <sheetData sheetId="0">
        <row r="2">
          <cell r="D2" t="str">
            <v>https://is.gd/PA3U8t</v>
          </cell>
          <cell r="BC2" t="str">
            <v>CLA001</v>
          </cell>
        </row>
        <row r="3">
          <cell r="D3" t="str">
            <v>https://is.gd/PA3U8t</v>
          </cell>
          <cell r="BC3" t="str">
            <v>CLA001</v>
          </cell>
        </row>
        <row r="4">
          <cell r="D4" t="str">
            <v>https://is.gd/PA3U8t</v>
          </cell>
          <cell r="BC4" t="str">
            <v>CLA001</v>
          </cell>
        </row>
        <row r="5">
          <cell r="D5" t="str">
            <v>https://is.gd/PA3U8t</v>
          </cell>
          <cell r="BC5" t="str">
            <v>CLA001</v>
          </cell>
        </row>
        <row r="6">
          <cell r="D6" t="str">
            <v>https://is.gd/EdNd6V</v>
          </cell>
          <cell r="BC6" t="str">
            <v>CLA002</v>
          </cell>
        </row>
        <row r="7">
          <cell r="D7" t="str">
            <v>https://is.gd/EdNd6V</v>
          </cell>
          <cell r="BC7" t="str">
            <v>CLA002</v>
          </cell>
        </row>
        <row r="8">
          <cell r="D8" t="str">
            <v>https://is.gd/EdNd6V</v>
          </cell>
          <cell r="BC8" t="str">
            <v>CLA002</v>
          </cell>
        </row>
        <row r="9">
          <cell r="D9" t="str">
            <v>https://is.gd/MD7nHt</v>
          </cell>
          <cell r="BC9" t="str">
            <v>CLA003</v>
          </cell>
        </row>
        <row r="10">
          <cell r="D10" t="str">
            <v>https://is.gd/OeBl18</v>
          </cell>
          <cell r="BC10" t="str">
            <v>CLA005</v>
          </cell>
        </row>
        <row r="11">
          <cell r="D11" t="str">
            <v>https://is.gd/OeBl18</v>
          </cell>
          <cell r="BC11" t="str">
            <v>CLA005</v>
          </cell>
        </row>
        <row r="12">
          <cell r="D12" t="str">
            <v>https://is.gd/OeBl18</v>
          </cell>
          <cell r="BC12" t="str">
            <v>CLA005</v>
          </cell>
        </row>
        <row r="13">
          <cell r="D13" t="str">
            <v>https://is.gd/OeBl18</v>
          </cell>
          <cell r="BC13" t="str">
            <v>CLA005</v>
          </cell>
        </row>
        <row r="14">
          <cell r="D14" t="str">
            <v>https://is.gd/OeBl18</v>
          </cell>
          <cell r="BC14" t="str">
            <v>CLA005</v>
          </cell>
        </row>
        <row r="15">
          <cell r="D15" t="str">
            <v>https://is.gd/OeBl18</v>
          </cell>
          <cell r="BC15" t="str">
            <v>CLA005</v>
          </cell>
        </row>
        <row r="16">
          <cell r="D16" t="str">
            <v>https://is.gd/PtyY0O</v>
          </cell>
          <cell r="BC16" t="str">
            <v>CLA006</v>
          </cell>
        </row>
        <row r="17">
          <cell r="D17" t="str">
            <v>https://is.gd/nI1rMk</v>
          </cell>
          <cell r="BC17" t="str">
            <v>CLA007</v>
          </cell>
        </row>
        <row r="18">
          <cell r="D18" t="str">
            <v>https://is.gd/nI1rMk</v>
          </cell>
          <cell r="BC18" t="str">
            <v>CLA007</v>
          </cell>
        </row>
        <row r="19">
          <cell r="D19" t="str">
            <v>https://is.gd/BWPcn4</v>
          </cell>
          <cell r="BC19" t="str">
            <v>CLA008</v>
          </cell>
        </row>
        <row r="20">
          <cell r="D20" t="str">
            <v>https://is.gd/zCTJb6</v>
          </cell>
          <cell r="BC20" t="str">
            <v>CLA010</v>
          </cell>
        </row>
        <row r="21">
          <cell r="D21" t="str">
            <v>https://is.gd/HVh27P</v>
          </cell>
          <cell r="BC21" t="str">
            <v>CLA011</v>
          </cell>
        </row>
        <row r="22">
          <cell r="D22" t="str">
            <v>https://is.gd/HVh27P</v>
          </cell>
          <cell r="BC22" t="str">
            <v>CLA011</v>
          </cell>
        </row>
        <row r="23">
          <cell r="D23" t="str">
            <v>https://is.gd/HVh27P</v>
          </cell>
          <cell r="BC23" t="str">
            <v>CLA011</v>
          </cell>
        </row>
        <row r="24">
          <cell r="D24" t="str">
            <v>https://is.gd/HVh27P</v>
          </cell>
          <cell r="BC24" t="str">
            <v>CLA011</v>
          </cell>
        </row>
        <row r="25">
          <cell r="D25" t="str">
            <v>https://is.gd/HVh27P</v>
          </cell>
          <cell r="BC25" t="str">
            <v>CLA011</v>
          </cell>
        </row>
        <row r="26">
          <cell r="D26" t="str">
            <v>https://is.gd/HVh27P</v>
          </cell>
          <cell r="BC26" t="str">
            <v>CLA011</v>
          </cell>
        </row>
        <row r="27">
          <cell r="D27" t="str">
            <v>https://is.gd/KSk71L</v>
          </cell>
          <cell r="BC27" t="str">
            <v>CLA012</v>
          </cell>
        </row>
        <row r="28">
          <cell r="D28" t="str">
            <v>https://is.gd/KSk71L</v>
          </cell>
          <cell r="BC28" t="str">
            <v>CLA012</v>
          </cell>
        </row>
        <row r="29">
          <cell r="D29" t="str">
            <v>https://is.gd/KSk71L</v>
          </cell>
          <cell r="BC29" t="str">
            <v>CLA012</v>
          </cell>
        </row>
        <row r="30">
          <cell r="D30" t="str">
            <v>https://is.gd/5T7heh</v>
          </cell>
          <cell r="BC30" t="str">
            <v>CLA012</v>
          </cell>
        </row>
        <row r="31">
          <cell r="D31" t="str">
            <v>https://is.gd/5T7heh</v>
          </cell>
          <cell r="BC31" t="str">
            <v>CLA012</v>
          </cell>
        </row>
        <row r="32">
          <cell r="D32" t="str">
            <v>https://is.gd/tqEiHT</v>
          </cell>
          <cell r="BC32" t="str">
            <v>CLA012</v>
          </cell>
        </row>
        <row r="33">
          <cell r="D33" t="str">
            <v>https://is.gd/tqEiHT</v>
          </cell>
          <cell r="BC33" t="str">
            <v>CLA012</v>
          </cell>
        </row>
        <row r="34">
          <cell r="D34" t="str">
            <v>https://is.gd/fez11i</v>
          </cell>
          <cell r="BC34" t="str">
            <v>CLA012</v>
          </cell>
        </row>
        <row r="35">
          <cell r="D35" t="str">
            <v>https://is.gd/fez11i</v>
          </cell>
          <cell r="BC35" t="str">
            <v>CLA012</v>
          </cell>
        </row>
        <row r="36">
          <cell r="D36" t="str">
            <v>https://is.gd/nptHpf</v>
          </cell>
          <cell r="BC36" t="str">
            <v>CLA013</v>
          </cell>
        </row>
        <row r="37">
          <cell r="D37" t="str">
            <v>https://is.gd/nptHpf</v>
          </cell>
          <cell r="BC37" t="str">
            <v>CLA013</v>
          </cell>
        </row>
        <row r="38">
          <cell r="D38" t="str">
            <v>https://is.gd/nptHpf</v>
          </cell>
          <cell r="BC38" t="str">
            <v>CLA013</v>
          </cell>
        </row>
        <row r="39">
          <cell r="D39" t="str">
            <v>https://is.gd/nptHpf</v>
          </cell>
          <cell r="BC39" t="str">
            <v>CLA013</v>
          </cell>
        </row>
        <row r="40">
          <cell r="D40" t="str">
            <v>https://is.gd/nptHpf</v>
          </cell>
          <cell r="BC40" t="str">
            <v>CLA013</v>
          </cell>
        </row>
        <row r="41">
          <cell r="D41" t="str">
            <v>https://is.gd/nptHpf</v>
          </cell>
          <cell r="BC41" t="str">
            <v>CLA013</v>
          </cell>
        </row>
        <row r="42">
          <cell r="D42" t="str">
            <v>https://is.gd/2ghUjf</v>
          </cell>
          <cell r="BC42" t="str">
            <v>CLA014</v>
          </cell>
        </row>
        <row r="43">
          <cell r="D43" t="str">
            <v>https://is.gd/2ghUjf</v>
          </cell>
          <cell r="BC43" t="str">
            <v>CLA014</v>
          </cell>
        </row>
        <row r="44">
          <cell r="D44" t="str">
            <v>https://is.gd/2ghUjf</v>
          </cell>
          <cell r="BC44" t="str">
            <v>CLA014</v>
          </cell>
        </row>
        <row r="45">
          <cell r="D45" t="str">
            <v>https://is.gd/eO84Ql</v>
          </cell>
          <cell r="BC45" t="str">
            <v>CLA015</v>
          </cell>
        </row>
        <row r="46">
          <cell r="D46" t="str">
            <v>https://is.gd/eO84Ql</v>
          </cell>
          <cell r="BC46" t="str">
            <v>CLA015</v>
          </cell>
        </row>
        <row r="47">
          <cell r="D47" t="str">
            <v>https://is.gd/eO84Ql</v>
          </cell>
          <cell r="BC47" t="str">
            <v>CLA015</v>
          </cell>
        </row>
        <row r="48">
          <cell r="D48" t="str">
            <v>https://is.gd/3LHPU7</v>
          </cell>
          <cell r="BC48" t="str">
            <v>CLA017</v>
          </cell>
        </row>
        <row r="49">
          <cell r="D49" t="str">
            <v>https://is.gd/3LHPU7</v>
          </cell>
          <cell r="BC49" t="str">
            <v>CLA017</v>
          </cell>
        </row>
        <row r="50">
          <cell r="D50" t="str">
            <v>https://is.gd/XU0pds</v>
          </cell>
          <cell r="BC50" t="str">
            <v>CLA018</v>
          </cell>
        </row>
        <row r="51">
          <cell r="D51" t="str">
            <v>https://is.gd/XU0pds</v>
          </cell>
          <cell r="BC51" t="str">
            <v>CLA018</v>
          </cell>
        </row>
        <row r="52">
          <cell r="D52" t="str">
            <v>https://is.gd/yF2rFo</v>
          </cell>
          <cell r="BC52" t="str">
            <v>CLA018</v>
          </cell>
        </row>
        <row r="53">
          <cell r="D53" t="str">
            <v>https://is.gd/bjPiDy</v>
          </cell>
          <cell r="BC53" t="str">
            <v>CLA019</v>
          </cell>
        </row>
        <row r="54">
          <cell r="D54" t="str">
            <v>https://is.gd/bjPiDy</v>
          </cell>
          <cell r="BC54" t="str">
            <v>CLA019</v>
          </cell>
        </row>
        <row r="55">
          <cell r="D55" t="str">
            <v>https://is.gd/bjPiDy</v>
          </cell>
          <cell r="BC55" t="str">
            <v>CLA019</v>
          </cell>
        </row>
        <row r="56">
          <cell r="D56" t="str">
            <v>https://is.gd/H70Pl8</v>
          </cell>
          <cell r="BC56" t="str">
            <v>CLA020</v>
          </cell>
        </row>
        <row r="57">
          <cell r="D57" t="str">
            <v>https://is.gd/H70Pl8</v>
          </cell>
          <cell r="BC57" t="str">
            <v>CLA020</v>
          </cell>
        </row>
        <row r="58">
          <cell r="D58" t="str">
            <v>https://is.gd/H70Pl8</v>
          </cell>
          <cell r="BC58" t="str">
            <v>CLA020</v>
          </cell>
        </row>
        <row r="59">
          <cell r="D59" t="str">
            <v>https://is.gd/H70Pl8</v>
          </cell>
          <cell r="BC59" t="str">
            <v>CLA020</v>
          </cell>
        </row>
        <row r="60">
          <cell r="D60" t="str">
            <v>https://is.gd/97cf7Q</v>
          </cell>
          <cell r="BC60" t="str">
            <v>CLA021</v>
          </cell>
        </row>
        <row r="61">
          <cell r="D61" t="str">
            <v>https://is.gd/97cf7Q</v>
          </cell>
          <cell r="BC61" t="str">
            <v>CLA021</v>
          </cell>
        </row>
        <row r="62">
          <cell r="D62" t="str">
            <v>https://is.gd/sMcXtW</v>
          </cell>
          <cell r="BC62" t="str">
            <v>CLA022</v>
          </cell>
        </row>
        <row r="63">
          <cell r="D63" t="str">
            <v>https://is.gd/sMcXtW</v>
          </cell>
          <cell r="BC63" t="str">
            <v>CLA022</v>
          </cell>
        </row>
        <row r="64">
          <cell r="D64" t="str">
            <v>https://is.gd/WflYY9</v>
          </cell>
          <cell r="BC64" t="str">
            <v>CLA023</v>
          </cell>
        </row>
        <row r="65">
          <cell r="D65" t="str">
            <v>https://is.gd/WflYY9</v>
          </cell>
          <cell r="BC65" t="str">
            <v>CLA023</v>
          </cell>
        </row>
        <row r="66">
          <cell r="D66" t="str">
            <v>https://is.gd/WflYY9</v>
          </cell>
          <cell r="BC66" t="str">
            <v>CLA023</v>
          </cell>
        </row>
        <row r="67">
          <cell r="D67" t="str">
            <v>https://is.gd/mBvCpi</v>
          </cell>
          <cell r="BC67" t="str">
            <v>CLA024</v>
          </cell>
        </row>
        <row r="68">
          <cell r="D68" t="str">
            <v>https://is.gd/mBvCpi</v>
          </cell>
          <cell r="BC68" t="str">
            <v>CLA024</v>
          </cell>
        </row>
        <row r="69">
          <cell r="D69" t="str">
            <v>https://is.gd/mBvCpi</v>
          </cell>
          <cell r="BC69" t="str">
            <v>CLA024</v>
          </cell>
        </row>
        <row r="70">
          <cell r="D70" t="str">
            <v>https://is.gd/2aA4Uk</v>
          </cell>
          <cell r="BC70" t="str">
            <v>CLA026</v>
          </cell>
        </row>
        <row r="71">
          <cell r="D71" t="str">
            <v>https://is.gd/2aA4Uk</v>
          </cell>
          <cell r="BC71" t="str">
            <v>CLA026</v>
          </cell>
        </row>
        <row r="72">
          <cell r="D72" t="str">
            <v>https://is.gd/2aA4Uk</v>
          </cell>
          <cell r="BC72" t="str">
            <v>CLA026</v>
          </cell>
        </row>
        <row r="73">
          <cell r="D73" t="str">
            <v>https://is.gd/2aA4Uk</v>
          </cell>
          <cell r="BC73" t="str">
            <v>CLA026</v>
          </cell>
        </row>
        <row r="74">
          <cell r="D74" t="str">
            <v>https://is.gd/BCnkS2</v>
          </cell>
          <cell r="BC74" t="str">
            <v>CLA027</v>
          </cell>
        </row>
        <row r="75">
          <cell r="D75" t="str">
            <v>https://is.gd/NzPp1r</v>
          </cell>
          <cell r="BC75" t="str">
            <v>CLA028</v>
          </cell>
        </row>
        <row r="76">
          <cell r="D76" t="str">
            <v>https://is.gd/NzPp1r</v>
          </cell>
          <cell r="BC76" t="str">
            <v>CLA028</v>
          </cell>
        </row>
        <row r="77">
          <cell r="D77" t="str">
            <v>https://is.gd/k19QDs</v>
          </cell>
          <cell r="BC77" t="str">
            <v>CLA028</v>
          </cell>
        </row>
        <row r="78">
          <cell r="D78" t="str">
            <v>https://is.gd/k19QDs</v>
          </cell>
          <cell r="BC78" t="str">
            <v>CLA028</v>
          </cell>
        </row>
        <row r="79">
          <cell r="D79" t="str">
            <v>https://is.gd/k19QDs</v>
          </cell>
          <cell r="BC79" t="str">
            <v>CLA028</v>
          </cell>
        </row>
        <row r="80">
          <cell r="D80" t="str">
            <v>https://is.gd/TfXuwU</v>
          </cell>
          <cell r="BC80" t="str">
            <v>CLA029</v>
          </cell>
        </row>
        <row r="81">
          <cell r="D81" t="str">
            <v>https://is.gd/TfXuwU</v>
          </cell>
          <cell r="BC81" t="str">
            <v>CLA029</v>
          </cell>
        </row>
        <row r="82">
          <cell r="D82" t="str">
            <v>https://is.gd/TfXuwU</v>
          </cell>
          <cell r="BC82" t="str">
            <v>CLA029</v>
          </cell>
        </row>
        <row r="83">
          <cell r="D83" t="str">
            <v>https://is.gd/nPxPDx</v>
          </cell>
          <cell r="BC83" t="str">
            <v>CLA031</v>
          </cell>
        </row>
        <row r="84">
          <cell r="D84" t="str">
            <v>https://is.gd/qSMYcP</v>
          </cell>
          <cell r="BC84" t="str">
            <v>CLA034</v>
          </cell>
        </row>
        <row r="85">
          <cell r="D85" t="str">
            <v>https://is.gd/qSMYcP</v>
          </cell>
          <cell r="BC85" t="str">
            <v>CLA034</v>
          </cell>
        </row>
        <row r="86">
          <cell r="D86" t="str">
            <v>https://is.gd/qSMYcP</v>
          </cell>
          <cell r="BC86" t="str">
            <v>CLA034</v>
          </cell>
        </row>
        <row r="87">
          <cell r="D87" t="str">
            <v>https://is.gd/qSMYcP</v>
          </cell>
          <cell r="BC87" t="str">
            <v>CLA034</v>
          </cell>
        </row>
        <row r="88">
          <cell r="D88" t="str">
            <v>https://is.gd/yMrcSq</v>
          </cell>
          <cell r="BC88" t="str">
            <v>CLA036</v>
          </cell>
        </row>
        <row r="89">
          <cell r="D89" t="str">
            <v>https://is.gd/R1sKACn</v>
          </cell>
          <cell r="BC89" t="str">
            <v>CLA037</v>
          </cell>
        </row>
        <row r="90">
          <cell r="D90" t="str">
            <v>https://is.gd/R1sKACn</v>
          </cell>
          <cell r="BC90" t="str">
            <v>CLA037</v>
          </cell>
        </row>
        <row r="91">
          <cell r="D91" t="str">
            <v>https://is.gd/R1sKACn</v>
          </cell>
          <cell r="BC91" t="str">
            <v>CLA037</v>
          </cell>
        </row>
        <row r="92">
          <cell r="D92" t="str">
            <v>https://is.gd/R1sKACn</v>
          </cell>
          <cell r="BC92" t="str">
            <v>CLA037</v>
          </cell>
        </row>
        <row r="93">
          <cell r="D93" t="str">
            <v>https://is.gd/WHbPke</v>
          </cell>
          <cell r="BC93" t="str">
            <v>CLA038</v>
          </cell>
        </row>
        <row r="94">
          <cell r="D94" t="str">
            <v>https://is.gd/WHbPke</v>
          </cell>
          <cell r="BC94" t="str">
            <v>CLA038</v>
          </cell>
        </row>
        <row r="95">
          <cell r="D95" t="str">
            <v>https://is.gd/WHbPke</v>
          </cell>
          <cell r="BC95" t="str">
            <v>CLA038</v>
          </cell>
        </row>
        <row r="96">
          <cell r="D96" t="str">
            <v>https://is.gd/WHbPke</v>
          </cell>
          <cell r="BC96" t="str">
            <v>CLA038</v>
          </cell>
        </row>
        <row r="97">
          <cell r="D97" t="str">
            <v>https://is.gd/WHbPke</v>
          </cell>
          <cell r="BC97" t="str">
            <v>CLA038</v>
          </cell>
        </row>
        <row r="98">
          <cell r="D98" t="str">
            <v>https://is.gd/3EQkoZ</v>
          </cell>
          <cell r="BC98" t="str">
            <v>CLA039</v>
          </cell>
        </row>
        <row r="99">
          <cell r="D99" t="str">
            <v>https://is.gd/3EQkoZ</v>
          </cell>
          <cell r="BC99" t="str">
            <v>CLA039</v>
          </cell>
        </row>
        <row r="100">
          <cell r="D100" t="str">
            <v>https://is.gd/3EQkoZ</v>
          </cell>
          <cell r="BC100" t="str">
            <v>CLA039</v>
          </cell>
        </row>
        <row r="101">
          <cell r="D101" t="str">
            <v>https://is.gd/3EQkoZ</v>
          </cell>
          <cell r="BC101" t="str">
            <v>CLA039</v>
          </cell>
        </row>
        <row r="102">
          <cell r="D102" t="str">
            <v>https://is.gd/CO6R7A</v>
          </cell>
          <cell r="BC102" t="str">
            <v>CLA040</v>
          </cell>
        </row>
        <row r="103">
          <cell r="D103" t="str">
            <v>https://is.gd/CO6R7A</v>
          </cell>
          <cell r="BC103" t="str">
            <v>CLA040</v>
          </cell>
        </row>
        <row r="104">
          <cell r="D104" t="str">
            <v>https://is.gd/CO6R7A</v>
          </cell>
          <cell r="BC104" t="str">
            <v>CLA040</v>
          </cell>
        </row>
        <row r="105">
          <cell r="D105" t="str">
            <v>https://is.gd/CO6R7A</v>
          </cell>
          <cell r="BC105" t="str">
            <v>CLA040</v>
          </cell>
        </row>
        <row r="106">
          <cell r="D106" t="str">
            <v>https://is.gd/cOFGj4</v>
          </cell>
          <cell r="BC106" t="str">
            <v>CLA042</v>
          </cell>
        </row>
        <row r="107">
          <cell r="D107" t="str">
            <v>https://is.gd/cOFGj4</v>
          </cell>
          <cell r="BC107" t="str">
            <v>CLA042</v>
          </cell>
        </row>
        <row r="108">
          <cell r="D108" t="str">
            <v>https://is.gd/cOFGj4</v>
          </cell>
          <cell r="BC108" t="str">
            <v>CLA042</v>
          </cell>
        </row>
        <row r="109">
          <cell r="D109" t="str">
            <v>https://is.gd/cOFGj4</v>
          </cell>
          <cell r="BC109" t="str">
            <v>CLA042</v>
          </cell>
        </row>
        <row r="110">
          <cell r="D110" t="str">
            <v>https://is.gd/cOFGj4</v>
          </cell>
          <cell r="BC110" t="str">
            <v>CLA042</v>
          </cell>
        </row>
        <row r="111">
          <cell r="D111" t="str">
            <v>https://is.gd/oqzfZz</v>
          </cell>
          <cell r="BC111" t="str">
            <v>CLA049</v>
          </cell>
        </row>
        <row r="112">
          <cell r="D112" t="str">
            <v>https://is.gd/5ZbJy7</v>
          </cell>
          <cell r="BC112" t="str">
            <v>CLA049</v>
          </cell>
        </row>
        <row r="113">
          <cell r="D113" t="str">
            <v>https://is.gd/5ZbJy7</v>
          </cell>
          <cell r="BC113" t="str">
            <v>CLA049</v>
          </cell>
        </row>
        <row r="114">
          <cell r="D114" t="str">
            <v>https://is.gd/5ZbJy7</v>
          </cell>
          <cell r="BC114" t="str">
            <v>CLA049</v>
          </cell>
        </row>
        <row r="115">
          <cell r="D115" t="str">
            <v>https://is.gd/5ZbJy7</v>
          </cell>
          <cell r="BC115" t="str">
            <v>CLA049</v>
          </cell>
        </row>
        <row r="116">
          <cell r="D116" t="str">
            <v>https://is.gd/55OTCp</v>
          </cell>
          <cell r="BC116" t="str">
            <v>CLA049</v>
          </cell>
        </row>
        <row r="117">
          <cell r="D117" t="str">
            <v>https://is.gd/55OTCp</v>
          </cell>
          <cell r="BC117" t="str">
            <v>CLA049</v>
          </cell>
        </row>
        <row r="118">
          <cell r="D118" t="str">
            <v>https://is.gd/Pdm1M7</v>
          </cell>
          <cell r="BC118" t="str">
            <v>CLA056</v>
          </cell>
        </row>
        <row r="119">
          <cell r="D119" t="str">
            <v>https://is.gd/3D3BTo</v>
          </cell>
          <cell r="BC119" t="str">
            <v>CLA060</v>
          </cell>
        </row>
        <row r="120">
          <cell r="D120" t="str">
            <v>https://is.gd/3D3BTo</v>
          </cell>
          <cell r="BC120" t="str">
            <v>CLA060</v>
          </cell>
        </row>
        <row r="121">
          <cell r="D121" t="str">
            <v>https://is.gd/3D3BTo</v>
          </cell>
          <cell r="BC121" t="str">
            <v>CLA060</v>
          </cell>
        </row>
        <row r="122">
          <cell r="D122" t="str">
            <v>https://is.gd/3D3BTo</v>
          </cell>
          <cell r="BC122" t="str">
            <v>CLA060</v>
          </cell>
        </row>
        <row r="123">
          <cell r="D123" t="str">
            <v>https://is.gd/z79lUn</v>
          </cell>
          <cell r="BC123" t="str">
            <v>CLA061</v>
          </cell>
        </row>
        <row r="124">
          <cell r="D124" t="str">
            <v>https://is.gd/z79lUn</v>
          </cell>
          <cell r="BC124" t="str">
            <v>CLA061</v>
          </cell>
        </row>
        <row r="125">
          <cell r="D125" t="str">
            <v>https://is.gd/z79lUn</v>
          </cell>
          <cell r="BC125" t="str">
            <v>CLA061</v>
          </cell>
        </row>
        <row r="126">
          <cell r="D126" t="str">
            <v>https://is.gd/yZu4xM</v>
          </cell>
          <cell r="BC126" t="str">
            <v>CLA069</v>
          </cell>
        </row>
        <row r="127">
          <cell r="D127" t="str">
            <v>https://is.gd/yZu4xM</v>
          </cell>
          <cell r="BC127" t="str">
            <v>CLA069</v>
          </cell>
        </row>
        <row r="128">
          <cell r="D128" t="str">
            <v>https://is.gd/yZu4xM</v>
          </cell>
          <cell r="BC128" t="str">
            <v>CLA069</v>
          </cell>
        </row>
        <row r="129">
          <cell r="D129" t="str">
            <v>https://is.gd/yZu4xM</v>
          </cell>
          <cell r="BC129" t="str">
            <v>CLA069</v>
          </cell>
        </row>
        <row r="130">
          <cell r="D130" t="str">
            <v>https://is.gd/yZu4xM</v>
          </cell>
          <cell r="BC130" t="str">
            <v>CLA069</v>
          </cell>
        </row>
        <row r="131">
          <cell r="D131" t="str">
            <v>https://is.gd/yZu4xM</v>
          </cell>
          <cell r="BC131" t="str">
            <v>CLA069</v>
          </cell>
        </row>
        <row r="132">
          <cell r="D132" t="str">
            <v>https://is.gd/yZu4xM</v>
          </cell>
          <cell r="BC132" t="str">
            <v>CLA069</v>
          </cell>
        </row>
        <row r="133">
          <cell r="D133" t="str">
            <v>https://is.gd/yZu4xM</v>
          </cell>
          <cell r="BC133" t="str">
            <v>CLA069</v>
          </cell>
        </row>
        <row r="134">
          <cell r="D134" t="str">
            <v>https://is.gd/yZu4xM</v>
          </cell>
          <cell r="BC134" t="str">
            <v>CLA069</v>
          </cell>
        </row>
        <row r="135">
          <cell r="D135" t="str">
            <v>https://is.gd/Ne00sd</v>
          </cell>
          <cell r="BC135" t="str">
            <v>CLA077</v>
          </cell>
        </row>
        <row r="136">
          <cell r="D136" t="str">
            <v>https://is.gd/WYVmFI</v>
          </cell>
          <cell r="BC136" t="str">
            <v>CLA079</v>
          </cell>
        </row>
        <row r="137">
          <cell r="D137" t="str">
            <v>https://is.gd/WYVmFI</v>
          </cell>
          <cell r="BC137" t="str">
            <v>CLA079</v>
          </cell>
        </row>
        <row r="138">
          <cell r="D138" t="str">
            <v>https://is.gd/WYVmFI</v>
          </cell>
          <cell r="BC138" t="str">
            <v>CLA079</v>
          </cell>
        </row>
        <row r="139">
          <cell r="D139" t="str">
            <v>https://is.gd/WYVmFI</v>
          </cell>
          <cell r="BC139" t="str">
            <v>CLA079</v>
          </cell>
        </row>
        <row r="140">
          <cell r="D140" t="str">
            <v>https://is.gd/WYVmFI</v>
          </cell>
          <cell r="BC140" t="str">
            <v>CLA079</v>
          </cell>
        </row>
        <row r="141">
          <cell r="D141" t="str">
            <v>https://is.gd/mqiAnP</v>
          </cell>
          <cell r="BC141" t="str">
            <v>CLA080</v>
          </cell>
        </row>
        <row r="142">
          <cell r="D142" t="str">
            <v>https://is.gd/mqiAnP</v>
          </cell>
          <cell r="BC142" t="str">
            <v>CLA080</v>
          </cell>
        </row>
        <row r="143">
          <cell r="D143" t="str">
            <v>https://is.gd/mqiAnP</v>
          </cell>
          <cell r="BC143" t="str">
            <v>CLA080</v>
          </cell>
        </row>
        <row r="144">
          <cell r="D144" t="str">
            <v>https://is.gd/mqiAnP</v>
          </cell>
          <cell r="BC144" t="str">
            <v>CLA080</v>
          </cell>
        </row>
        <row r="145">
          <cell r="D145" t="str">
            <v>https://is.gd/yPwkNC</v>
          </cell>
          <cell r="BC145" t="str">
            <v>CLA081</v>
          </cell>
        </row>
        <row r="146">
          <cell r="D146" t="str">
            <v>https://is.gd/4YEwT4</v>
          </cell>
          <cell r="BC146" t="str">
            <v>CLA093</v>
          </cell>
        </row>
        <row r="147">
          <cell r="D147" t="str">
            <v>https://is.gd/4YEwT4</v>
          </cell>
          <cell r="BC147" t="str">
            <v>CLA093</v>
          </cell>
        </row>
        <row r="148">
          <cell r="D148" t="str">
            <v>https://is.gd/4YEwT4</v>
          </cell>
          <cell r="BC148" t="str">
            <v>CLA093</v>
          </cell>
        </row>
        <row r="149">
          <cell r="D149" t="str">
            <v>https://is.gd/lbewL2</v>
          </cell>
          <cell r="BC149" t="str">
            <v>CLA094</v>
          </cell>
        </row>
        <row r="150">
          <cell r="D150" t="str">
            <v>https://is.gd/lbewL2</v>
          </cell>
          <cell r="BC150" t="str">
            <v>CLA094</v>
          </cell>
        </row>
        <row r="151">
          <cell r="D151" t="str">
            <v>https://is.gd/lbewL2</v>
          </cell>
          <cell r="BC151" t="str">
            <v>CLA094</v>
          </cell>
        </row>
        <row r="152">
          <cell r="D152" t="str">
            <v>https://is.gd/lbewL2</v>
          </cell>
          <cell r="BC152" t="str">
            <v>CLA094</v>
          </cell>
        </row>
        <row r="153">
          <cell r="D153" t="str">
            <v>https://is.gd/tx9vJw</v>
          </cell>
          <cell r="BC153" t="str">
            <v>CLA108</v>
          </cell>
        </row>
        <row r="154">
          <cell r="D154" t="str">
            <v>https://is.gd/Pbq2zr</v>
          </cell>
          <cell r="BC154" t="str">
            <v>CLA095</v>
          </cell>
        </row>
        <row r="155">
          <cell r="D155" t="str">
            <v>https://is.gd/Pbq2zr</v>
          </cell>
          <cell r="BC155" t="str">
            <v>CLA095</v>
          </cell>
        </row>
        <row r="156">
          <cell r="D156" t="str">
            <v>https://is.gd/Pbq2zr</v>
          </cell>
          <cell r="BC156" t="str">
            <v>CLA095</v>
          </cell>
        </row>
        <row r="157">
          <cell r="D157" t="str">
            <v>https://is.gd/Pbq2zr</v>
          </cell>
          <cell r="BC157" t="str">
            <v>CLA095</v>
          </cell>
        </row>
        <row r="158">
          <cell r="D158" t="str">
            <v>https://is.gd/Pbq2zr</v>
          </cell>
          <cell r="BC158" t="str">
            <v>CLA095</v>
          </cell>
        </row>
        <row r="159">
          <cell r="D159" t="str">
            <v>https://is.gd/hsnjcW</v>
          </cell>
          <cell r="BC159" t="str">
            <v>CLA099</v>
          </cell>
        </row>
        <row r="160">
          <cell r="D160" t="str">
            <v>https://is.gd/hsnjcW</v>
          </cell>
          <cell r="BC160" t="str">
            <v>CLA099</v>
          </cell>
        </row>
        <row r="161">
          <cell r="D161" t="str">
            <v>https://is.gd/rybIMN</v>
          </cell>
          <cell r="BC161" t="str">
            <v>CLA102</v>
          </cell>
        </row>
        <row r="162">
          <cell r="D162" t="str">
            <v>https://is.gd/rybIMN</v>
          </cell>
          <cell r="BC162" t="str">
            <v>CLA102</v>
          </cell>
        </row>
        <row r="163">
          <cell r="D163" t="str">
            <v>https://is.gd/Rm68JL</v>
          </cell>
          <cell r="BC163" t="str">
            <v>CLA105</v>
          </cell>
        </row>
        <row r="164">
          <cell r="D164" t="str">
            <v>https://is.gd/LzSGMk</v>
          </cell>
          <cell r="BC164" t="str">
            <v>CLA106</v>
          </cell>
        </row>
        <row r="165">
          <cell r="D165" t="str">
            <v>https://is.gd/LzSGMk</v>
          </cell>
          <cell r="BC165" t="str">
            <v>CLA106</v>
          </cell>
        </row>
        <row r="166">
          <cell r="D166" t="str">
            <v>https://is.gd/LzSGMk</v>
          </cell>
          <cell r="BC166" t="str">
            <v>CLA106</v>
          </cell>
        </row>
        <row r="167">
          <cell r="D167" t="str">
            <v>https://is.gd/LzSGMk</v>
          </cell>
          <cell r="BC167" t="str">
            <v>CLA106</v>
          </cell>
        </row>
        <row r="168">
          <cell r="D168" t="str">
            <v>https://is.gd/NhiPL3</v>
          </cell>
          <cell r="BC168" t="str">
            <v>CLA107</v>
          </cell>
        </row>
        <row r="169">
          <cell r="D169" t="str">
            <v>https://is.gd/NhiPL3</v>
          </cell>
          <cell r="BC169" t="str">
            <v>CLA107</v>
          </cell>
        </row>
        <row r="170">
          <cell r="D170" t="str">
            <v>https://is.gd/tx9vJw</v>
          </cell>
          <cell r="BC170" t="str">
            <v>CLA108</v>
          </cell>
        </row>
        <row r="171">
          <cell r="D171" t="str">
            <v>https://is.gd/9FIpRh</v>
          </cell>
          <cell r="BC171" t="str">
            <v>CLA110</v>
          </cell>
        </row>
        <row r="172">
          <cell r="D172" t="str">
            <v>https://is.gd/9FIpRh</v>
          </cell>
          <cell r="BC172" t="str">
            <v>CLA110</v>
          </cell>
        </row>
        <row r="173">
          <cell r="D173" t="str">
            <v>https://is.gd/9FIpRh</v>
          </cell>
          <cell r="BC173" t="str">
            <v>CLA110</v>
          </cell>
        </row>
        <row r="174">
          <cell r="D174" t="str">
            <v>https://is.gd/9FIpRh</v>
          </cell>
          <cell r="BC174" t="str">
            <v>CLA110</v>
          </cell>
        </row>
        <row r="175">
          <cell r="D175" t="str">
            <v>https://is.gd/397yX0</v>
          </cell>
          <cell r="BC175" t="str">
            <v>CLA125</v>
          </cell>
        </row>
        <row r="176">
          <cell r="D176" t="str">
            <v>https://is.gd/397yX0</v>
          </cell>
          <cell r="BC176" t="str">
            <v>CLA125</v>
          </cell>
        </row>
        <row r="177">
          <cell r="D177" t="str">
            <v>https://is.gd/397yX0</v>
          </cell>
          <cell r="BC177" t="str">
            <v>CLA125</v>
          </cell>
        </row>
        <row r="178">
          <cell r="D178" t="str">
            <v>https://is.gd/397yX0</v>
          </cell>
          <cell r="BC178" t="str">
            <v>CLA125</v>
          </cell>
        </row>
        <row r="179">
          <cell r="D179" t="str">
            <v>https://is.gd/397yX0</v>
          </cell>
          <cell r="BC179" t="str">
            <v>CLA125</v>
          </cell>
        </row>
        <row r="180">
          <cell r="D180" t="str">
            <v>https://is.gd/kj46el</v>
          </cell>
          <cell r="BC180" t="str">
            <v>CLA125</v>
          </cell>
        </row>
        <row r="181">
          <cell r="D181" t="str">
            <v>https://is.gd/xKx6Oh</v>
          </cell>
          <cell r="BC181" t="str">
            <v>CLA128</v>
          </cell>
        </row>
        <row r="182">
          <cell r="D182" t="str">
            <v>https://is.gd/xKx6Oh</v>
          </cell>
          <cell r="BC182" t="str">
            <v>CLA128</v>
          </cell>
        </row>
        <row r="183">
          <cell r="D183" t="str">
            <v>https://is.gd/xKx6Oh</v>
          </cell>
          <cell r="BC183" t="str">
            <v>CLA128</v>
          </cell>
        </row>
        <row r="184">
          <cell r="D184" t="str">
            <v>https://is.gd/xKx6Oh</v>
          </cell>
          <cell r="BC184" t="str">
            <v>CLA128</v>
          </cell>
        </row>
        <row r="185">
          <cell r="D185" t="str">
            <v>https://is.gd/xbMpJI</v>
          </cell>
          <cell r="BC185" t="str">
            <v>CLA131</v>
          </cell>
        </row>
        <row r="186">
          <cell r="D186" t="str">
            <v>https://is.gd/xbMpJI</v>
          </cell>
          <cell r="BC186" t="str">
            <v>CLA131</v>
          </cell>
        </row>
        <row r="187">
          <cell r="D187" t="str">
            <v>https://is.gd/xbMpJI</v>
          </cell>
          <cell r="BC187" t="str">
            <v>CLA131</v>
          </cell>
        </row>
        <row r="188">
          <cell r="D188" t="str">
            <v>https://is.gd/xbMpJI</v>
          </cell>
          <cell r="BC188" t="str">
            <v>CLA131</v>
          </cell>
        </row>
        <row r="189">
          <cell r="D189" t="str">
            <v>https://is.gd/xbMpJI</v>
          </cell>
          <cell r="BC189" t="str">
            <v>CLA131</v>
          </cell>
        </row>
        <row r="190">
          <cell r="D190" t="str">
            <v>https://is.gd/xbMpJI</v>
          </cell>
          <cell r="BC190" t="str">
            <v>CLA131</v>
          </cell>
        </row>
        <row r="191">
          <cell r="D191" t="str">
            <v>https://is.gd/xbMpJI</v>
          </cell>
          <cell r="BC191" t="str">
            <v>CLA131</v>
          </cell>
        </row>
        <row r="192">
          <cell r="D192" t="str">
            <v>https://is.gd/xbMpJI</v>
          </cell>
          <cell r="BC192" t="str">
            <v>CLA131</v>
          </cell>
        </row>
        <row r="193">
          <cell r="D193" t="str">
            <v>https://is.gd/psUS8P</v>
          </cell>
          <cell r="BC193" t="str">
            <v>CLA132</v>
          </cell>
        </row>
        <row r="194">
          <cell r="D194" t="str">
            <v>https://is.gd/psUS8P</v>
          </cell>
          <cell r="BC194" t="str">
            <v>CLA132</v>
          </cell>
        </row>
        <row r="195">
          <cell r="D195" t="str">
            <v>https://is.gd/vxw0f6</v>
          </cell>
          <cell r="BC195" t="str">
            <v>CLA159</v>
          </cell>
        </row>
        <row r="196">
          <cell r="D196" t="str">
            <v>https://is.gd/vxw0f6</v>
          </cell>
          <cell r="BC196" t="str">
            <v>CLA159</v>
          </cell>
        </row>
        <row r="197">
          <cell r="D197" t="str">
            <v>https://is.gd/vxw0f6</v>
          </cell>
          <cell r="BC197" t="str">
            <v>CLA159</v>
          </cell>
        </row>
        <row r="198">
          <cell r="D198" t="str">
            <v>https://is.gd/vxw0f6</v>
          </cell>
          <cell r="BC198" t="str">
            <v>CLA159</v>
          </cell>
        </row>
        <row r="199">
          <cell r="D199" t="str">
            <v>https://is.gd/wc5yXa</v>
          </cell>
          <cell r="BC199" t="str">
            <v>CLA161</v>
          </cell>
        </row>
        <row r="200">
          <cell r="D200" t="str">
            <v>https://is.gd/wc5yXa</v>
          </cell>
          <cell r="BC200" t="str">
            <v>CLA161</v>
          </cell>
        </row>
        <row r="201">
          <cell r="D201" t="str">
            <v>https://is.gd/wc5yXa</v>
          </cell>
          <cell r="BC201" t="str">
            <v>CLA161</v>
          </cell>
        </row>
        <row r="202">
          <cell r="D202" t="str">
            <v>https://is.gd/yMHdPy</v>
          </cell>
          <cell r="BC202" t="str">
            <v>CLA161</v>
          </cell>
        </row>
        <row r="203">
          <cell r="D203" t="str">
            <v>https://is.gd/yMHdPy</v>
          </cell>
          <cell r="BC203" t="str">
            <v>CLA161</v>
          </cell>
        </row>
        <row r="204">
          <cell r="D204" t="str">
            <v>https://is.gd/yMHdPy</v>
          </cell>
          <cell r="BC204" t="str">
            <v>CLA161</v>
          </cell>
        </row>
        <row r="205">
          <cell r="D205" t="str">
            <v>https://is.gd/Te4iwJ</v>
          </cell>
          <cell r="BC205" t="str">
            <v>CLA161</v>
          </cell>
        </row>
        <row r="206">
          <cell r="D206" t="str">
            <v>https://is.gd/JDDP3u</v>
          </cell>
          <cell r="BC206" t="str">
            <v>CLA163</v>
          </cell>
        </row>
        <row r="207">
          <cell r="D207" t="str">
            <v>https://is.gd/JDDP3u</v>
          </cell>
          <cell r="BC207" t="str">
            <v>CLA163</v>
          </cell>
        </row>
        <row r="208">
          <cell r="D208" t="str">
            <v>https://is.gd/JDDP3u</v>
          </cell>
          <cell r="BC208" t="str">
            <v>CLA163</v>
          </cell>
        </row>
        <row r="209">
          <cell r="D209" t="str">
            <v>https://is.gd/H4xSmz</v>
          </cell>
          <cell r="BC209" t="str">
            <v>CLA165</v>
          </cell>
        </row>
        <row r="210">
          <cell r="D210" t="str">
            <v>https://is.gd/H4xSmz</v>
          </cell>
          <cell r="BC210" t="str">
            <v>CLA165</v>
          </cell>
        </row>
        <row r="211">
          <cell r="D211" t="str">
            <v>https://is.gd/H4xSmz</v>
          </cell>
          <cell r="BC211" t="str">
            <v>CLA165</v>
          </cell>
        </row>
        <row r="212">
          <cell r="D212" t="str">
            <v>https://is.gd/H4xSmz</v>
          </cell>
          <cell r="BC212" t="str">
            <v>CLA165</v>
          </cell>
        </row>
        <row r="213">
          <cell r="D213" t="str">
            <v>https://is.gd/IplQC0</v>
          </cell>
          <cell r="BC213" t="str">
            <v>CLA166</v>
          </cell>
        </row>
        <row r="214">
          <cell r="D214" t="str">
            <v>https://is.gd/IplQC0</v>
          </cell>
          <cell r="BC214" t="str">
            <v>CLA166</v>
          </cell>
        </row>
        <row r="215">
          <cell r="D215" t="str">
            <v>https://is.gd/wDff9d</v>
          </cell>
          <cell r="BC215" t="str">
            <v>CLA169</v>
          </cell>
        </row>
        <row r="216">
          <cell r="D216" t="str">
            <v>https://is.gd/wDff9d</v>
          </cell>
          <cell r="BC216" t="str">
            <v>CLA169</v>
          </cell>
        </row>
        <row r="217">
          <cell r="D217" t="str">
            <v>https://is.gd/FUtZ1x</v>
          </cell>
          <cell r="BC217" t="str">
            <v>CLA173</v>
          </cell>
        </row>
        <row r="218">
          <cell r="D218" t="str">
            <v>https://is.gd/FUtZ1x</v>
          </cell>
          <cell r="BC218" t="str">
            <v>CLA173</v>
          </cell>
        </row>
        <row r="219">
          <cell r="D219" t="str">
            <v>https://is.gd/yj4fDR</v>
          </cell>
          <cell r="BC219" t="str">
            <v>CLA174</v>
          </cell>
        </row>
        <row r="220">
          <cell r="D220" t="str">
            <v>https://is.gd/yj4fDR</v>
          </cell>
          <cell r="BC220" t="str">
            <v>CLA174</v>
          </cell>
        </row>
        <row r="221">
          <cell r="D221" t="str">
            <v>https://is.gd/UndQQK</v>
          </cell>
          <cell r="BC221" t="str">
            <v>CLA176</v>
          </cell>
        </row>
        <row r="222">
          <cell r="D222" t="str">
            <v>https://is.gd/PsTz9U</v>
          </cell>
          <cell r="BC222" t="str">
            <v>CLA177</v>
          </cell>
        </row>
        <row r="223">
          <cell r="D223" t="str">
            <v>https://is.gd/PsTz9U</v>
          </cell>
          <cell r="BC223" t="str">
            <v>CLA177</v>
          </cell>
        </row>
        <row r="224">
          <cell r="D224" t="str">
            <v>https://is.gd/IqPmP7</v>
          </cell>
          <cell r="BC224" t="str">
            <v>CLA178</v>
          </cell>
        </row>
        <row r="225">
          <cell r="D225" t="str">
            <v>https://is.gd/IqPmP7</v>
          </cell>
          <cell r="BC225" t="str">
            <v>CLA178</v>
          </cell>
        </row>
        <row r="226">
          <cell r="D226" t="str">
            <v>https://is.gd/IqPmP7</v>
          </cell>
          <cell r="BC226" t="str">
            <v>CLA178</v>
          </cell>
        </row>
        <row r="227">
          <cell r="D227" t="str">
            <v>https://is.gd/IqPmP7</v>
          </cell>
          <cell r="BC227" t="str">
            <v>CLA178</v>
          </cell>
        </row>
        <row r="228">
          <cell r="D228" t="str">
            <v>https://is.gd/WFaKtM</v>
          </cell>
          <cell r="BC228" t="str">
            <v>CLA179</v>
          </cell>
        </row>
        <row r="229">
          <cell r="D229" t="str">
            <v>https://is.gd/WFaKtM</v>
          </cell>
          <cell r="BC229" t="str">
            <v>CLA179</v>
          </cell>
        </row>
        <row r="230">
          <cell r="D230" t="str">
            <v>https://is.gd/WFaKtM</v>
          </cell>
          <cell r="BC230" t="str">
            <v>CLA179</v>
          </cell>
        </row>
        <row r="231">
          <cell r="D231" t="str">
            <v>https://is.gd/VItF5m</v>
          </cell>
          <cell r="BC231" t="str">
            <v>CLA180</v>
          </cell>
        </row>
        <row r="232">
          <cell r="D232" t="str">
            <v>https://is.gd/VItF5m</v>
          </cell>
          <cell r="BC232" t="str">
            <v>CLA180</v>
          </cell>
        </row>
        <row r="233">
          <cell r="D233" t="str">
            <v>https://is.gd/VItF5m</v>
          </cell>
          <cell r="BC233" t="str">
            <v>CLA180</v>
          </cell>
        </row>
        <row r="234">
          <cell r="D234" t="str">
            <v>https://is.gd/VItF5m</v>
          </cell>
          <cell r="BC234" t="str">
            <v>CLA180</v>
          </cell>
        </row>
        <row r="235">
          <cell r="D235" t="str">
            <v>https://is.gd/VItF5m</v>
          </cell>
          <cell r="BC235" t="str">
            <v>CLA180</v>
          </cell>
        </row>
        <row r="236">
          <cell r="D236" t="str">
            <v>https://is.gd/5l02fv</v>
          </cell>
          <cell r="BC236" t="str">
            <v>CLA181</v>
          </cell>
        </row>
        <row r="237">
          <cell r="D237" t="str">
            <v>https://is.gd/5l02fv</v>
          </cell>
          <cell r="BC237" t="str">
            <v>CLA181</v>
          </cell>
        </row>
        <row r="238">
          <cell r="D238" t="str">
            <v>https://is.gd/5l02fv</v>
          </cell>
          <cell r="BC238" t="str">
            <v>CLA181</v>
          </cell>
        </row>
        <row r="239">
          <cell r="D239" t="str">
            <v>https://is.gd/5l02fv</v>
          </cell>
          <cell r="BC239" t="str">
            <v>CLA181</v>
          </cell>
        </row>
        <row r="240">
          <cell r="D240" t="str">
            <v>https://is.gd/63OavB</v>
          </cell>
          <cell r="BC240" t="str">
            <v>CLA181</v>
          </cell>
        </row>
        <row r="241">
          <cell r="D241" t="str">
            <v>https://is.gd/qikdqW</v>
          </cell>
          <cell r="BC241" t="str">
            <v>CLA181</v>
          </cell>
        </row>
        <row r="242">
          <cell r="D242" t="str">
            <v>https://is.gd/QvXzvq</v>
          </cell>
          <cell r="BC242" t="str">
            <v>CLA182</v>
          </cell>
        </row>
        <row r="243">
          <cell r="D243" t="str">
            <v>https://is.gd/QvXzvq</v>
          </cell>
          <cell r="BC243" t="str">
            <v>CLA182</v>
          </cell>
        </row>
        <row r="244">
          <cell r="D244" t="str">
            <v>https://is.gd/QvXzvq</v>
          </cell>
          <cell r="BC244" t="str">
            <v>CLA182</v>
          </cell>
        </row>
        <row r="245">
          <cell r="D245" t="str">
            <v>https://is.gd/QvXzvq</v>
          </cell>
          <cell r="BC245" t="str">
            <v>CLA182</v>
          </cell>
        </row>
        <row r="246">
          <cell r="D246" t="str">
            <v>https://is.gd/R6hIzb</v>
          </cell>
          <cell r="BC246" t="str">
            <v>CLA183</v>
          </cell>
        </row>
        <row r="247">
          <cell r="D247" t="str">
            <v>https://is.gd/R6hIzb</v>
          </cell>
          <cell r="BC247" t="str">
            <v>CLA183</v>
          </cell>
        </row>
        <row r="248">
          <cell r="D248" t="str">
            <v>https://is.gd/R6hIzb</v>
          </cell>
          <cell r="BC248" t="str">
            <v>CLA183</v>
          </cell>
        </row>
        <row r="249">
          <cell r="D249" t="str">
            <v>https://is.gd/R6hIzb</v>
          </cell>
          <cell r="BC249" t="str">
            <v>CLA183</v>
          </cell>
        </row>
        <row r="250">
          <cell r="D250" t="str">
            <v>https://is.gd/pay5ao</v>
          </cell>
          <cell r="BC250" t="str">
            <v>CLA184</v>
          </cell>
        </row>
        <row r="251">
          <cell r="D251" t="str">
            <v>https://is.gd/pay5ao</v>
          </cell>
          <cell r="BC251" t="str">
            <v>CLA184</v>
          </cell>
        </row>
        <row r="252">
          <cell r="D252" t="str">
            <v>https://is.gd/pay5ao</v>
          </cell>
          <cell r="BC252" t="str">
            <v>CLA184</v>
          </cell>
        </row>
        <row r="253">
          <cell r="D253" t="str">
            <v>https://is.gd/pay5ao</v>
          </cell>
          <cell r="BC253" t="str">
            <v>CLA184</v>
          </cell>
        </row>
        <row r="254">
          <cell r="D254" t="str">
            <v>https://is.gd/pay5ao</v>
          </cell>
          <cell r="BC254" t="str">
            <v>CLA184</v>
          </cell>
        </row>
        <row r="255">
          <cell r="D255" t="str">
            <v>https://is.gd/pxlrl9</v>
          </cell>
          <cell r="BC255" t="str">
            <v>CLA185</v>
          </cell>
        </row>
        <row r="256">
          <cell r="D256" t="str">
            <v>https://is.gd/pxlrl9</v>
          </cell>
          <cell r="BC256" t="str">
            <v>CLA185</v>
          </cell>
        </row>
        <row r="257">
          <cell r="D257" t="str">
            <v>https://is.gd/65SjIb</v>
          </cell>
          <cell r="BC257" t="str">
            <v>CLA186</v>
          </cell>
        </row>
        <row r="258">
          <cell r="D258" t="str">
            <v>https://is.gd/65SjIb</v>
          </cell>
          <cell r="BC258" t="str">
            <v>CLA186</v>
          </cell>
        </row>
        <row r="259">
          <cell r="D259" t="str">
            <v>https://is.gd/65SjIb</v>
          </cell>
          <cell r="BC259" t="str">
            <v>CLA186</v>
          </cell>
        </row>
        <row r="260">
          <cell r="D260" t="str">
            <v>https://is.gd/yhDKGL</v>
          </cell>
          <cell r="BC260" t="str">
            <v>CLA188</v>
          </cell>
        </row>
        <row r="261">
          <cell r="D261" t="str">
            <v>https://is.gd/yhDKGL</v>
          </cell>
          <cell r="BC261" t="str">
            <v>CLA188</v>
          </cell>
        </row>
        <row r="262">
          <cell r="D262" t="str">
            <v>https://is.gd/XiYLml</v>
          </cell>
          <cell r="BC262" t="str">
            <v>CLA189</v>
          </cell>
        </row>
        <row r="263">
          <cell r="D263" t="str">
            <v>https://is.gd/XiYLml</v>
          </cell>
          <cell r="BC263" t="str">
            <v>CLA189</v>
          </cell>
        </row>
        <row r="264">
          <cell r="D264" t="str">
            <v>https://is.gd/5DkNZ2</v>
          </cell>
          <cell r="BC264" t="str">
            <v>CLA190</v>
          </cell>
        </row>
        <row r="265">
          <cell r="D265" t="str">
            <v>https://is.gd/5DkNZ2</v>
          </cell>
          <cell r="BC265" t="str">
            <v>CLA190</v>
          </cell>
        </row>
        <row r="266">
          <cell r="D266" t="str">
            <v>https://is.gd/5DkNZ2</v>
          </cell>
          <cell r="BC266" t="str">
            <v>CLA190</v>
          </cell>
        </row>
        <row r="267">
          <cell r="D267" t="str">
            <v>https://is.gd/5DkNZ2</v>
          </cell>
          <cell r="BC267" t="str">
            <v>CLA190</v>
          </cell>
        </row>
        <row r="268">
          <cell r="D268" t="str">
            <v>https://is.gd/mX9e3k</v>
          </cell>
          <cell r="BC268" t="str">
            <v>CLA191</v>
          </cell>
        </row>
        <row r="269">
          <cell r="D269" t="str">
            <v>https://is.gd/mX9e3k</v>
          </cell>
          <cell r="BC269" t="str">
            <v>CLA191</v>
          </cell>
        </row>
        <row r="270">
          <cell r="D270" t="str">
            <v>https://is.gd/mX9e3k</v>
          </cell>
          <cell r="BC270" t="str">
            <v>CLA191</v>
          </cell>
        </row>
        <row r="271">
          <cell r="D271" t="str">
            <v>https://is.gd/mX9e3k</v>
          </cell>
          <cell r="BC271" t="str">
            <v>CLA191</v>
          </cell>
        </row>
        <row r="272">
          <cell r="D272" t="str">
            <v>https://is.gd/mX9e3k</v>
          </cell>
          <cell r="BC272" t="str">
            <v>CLA191</v>
          </cell>
        </row>
        <row r="273">
          <cell r="D273" t="str">
            <v>https://is.gd/jFfYj2</v>
          </cell>
          <cell r="BC273" t="str">
            <v>CLA193</v>
          </cell>
        </row>
        <row r="274">
          <cell r="D274" t="str">
            <v>https://is.gd/jFfYj2</v>
          </cell>
          <cell r="BC274" t="str">
            <v>CLA193</v>
          </cell>
        </row>
        <row r="275">
          <cell r="D275" t="str">
            <v>https://is.gd/jFfYj2</v>
          </cell>
          <cell r="BC275" t="str">
            <v>CLA193</v>
          </cell>
        </row>
        <row r="276">
          <cell r="D276" t="str">
            <v>https://is.gd/jFfYj2</v>
          </cell>
          <cell r="BC276" t="str">
            <v>CLA193</v>
          </cell>
        </row>
        <row r="277">
          <cell r="D277" t="str">
            <v>https://is.gd/mS5hDv</v>
          </cell>
          <cell r="BC277" t="str">
            <v>CLA199</v>
          </cell>
        </row>
        <row r="278">
          <cell r="D278" t="str">
            <v>https://is.gd/mS5hDv</v>
          </cell>
          <cell r="BC278" t="str">
            <v>CLA199</v>
          </cell>
        </row>
        <row r="279">
          <cell r="D279" t="str">
            <v>https://is.gd/mS5hDv</v>
          </cell>
          <cell r="BC279" t="str">
            <v>CLA199</v>
          </cell>
        </row>
        <row r="280">
          <cell r="D280" t="str">
            <v>https://is.gd/DOj8u6</v>
          </cell>
          <cell r="BC280" t="str">
            <v>CLA200</v>
          </cell>
        </row>
        <row r="281">
          <cell r="D281" t="str">
            <v>https://is.gd/DOj8u6</v>
          </cell>
          <cell r="BC281" t="str">
            <v>CLA200</v>
          </cell>
        </row>
        <row r="282">
          <cell r="D282" t="str">
            <v>https://is.gd/XFHDWR</v>
          </cell>
          <cell r="BC282" t="str">
            <v>CLA203</v>
          </cell>
        </row>
        <row r="283">
          <cell r="D283" t="str">
            <v>https://is.gd/XFHDWR</v>
          </cell>
          <cell r="BC283" t="str">
            <v>CLA203</v>
          </cell>
        </row>
        <row r="284">
          <cell r="D284" t="str">
            <v>https://is.gd/jjkWCe</v>
          </cell>
          <cell r="BC284" t="str">
            <v>CLA205</v>
          </cell>
        </row>
        <row r="285">
          <cell r="D285" t="str">
            <v>https://is.gd/jjkWCe</v>
          </cell>
          <cell r="BC285" t="str">
            <v>CLA205</v>
          </cell>
        </row>
        <row r="286">
          <cell r="D286" t="str">
            <v>https://is.gd/jjkWCe</v>
          </cell>
          <cell r="BC286" t="str">
            <v>CLA205</v>
          </cell>
        </row>
        <row r="287">
          <cell r="D287" t="str">
            <v>https://is.gd/KxFX7S</v>
          </cell>
          <cell r="BC287" t="str">
            <v>CLA206</v>
          </cell>
        </row>
        <row r="288">
          <cell r="D288" t="str">
            <v>https://is.gd/6IvFQX</v>
          </cell>
          <cell r="BC288" t="str">
            <v>CLA211</v>
          </cell>
        </row>
        <row r="289">
          <cell r="D289" t="str">
            <v>https://is.gd/OcF3uC</v>
          </cell>
          <cell r="BC289" t="str">
            <v>CLA216</v>
          </cell>
        </row>
        <row r="290">
          <cell r="D290" t="str">
            <v>https://is.gd/77xBed</v>
          </cell>
          <cell r="BC290" t="str">
            <v>CLA218</v>
          </cell>
        </row>
        <row r="291">
          <cell r="D291" t="str">
            <v>https://is.gd/77xBed</v>
          </cell>
          <cell r="BC291" t="str">
            <v>CLA218</v>
          </cell>
        </row>
        <row r="292">
          <cell r="D292" t="str">
            <v>https://is.gd/eB42Y4</v>
          </cell>
          <cell r="BC292" t="str">
            <v>CLA218</v>
          </cell>
        </row>
        <row r="293">
          <cell r="D293" t="str">
            <v>https://is.gd/eB42Y4</v>
          </cell>
          <cell r="BC293" t="str">
            <v>CLA218</v>
          </cell>
        </row>
        <row r="294">
          <cell r="D294" t="str">
            <v>https://is.gd/WqPIOn</v>
          </cell>
          <cell r="BC294" t="str">
            <v>CLA218</v>
          </cell>
        </row>
        <row r="295">
          <cell r="D295" t="str">
            <v>https://is.gd/3gr30Q</v>
          </cell>
          <cell r="BC295" t="str">
            <v>CLA221</v>
          </cell>
        </row>
        <row r="296">
          <cell r="D296" t="str">
            <v>https://is.gd/3gr30Q</v>
          </cell>
          <cell r="BC296" t="str">
            <v>CLA221</v>
          </cell>
        </row>
        <row r="297">
          <cell r="D297" t="str">
            <v>https://is.gd/3gr30Q</v>
          </cell>
          <cell r="BC297" t="str">
            <v>CLA221</v>
          </cell>
        </row>
        <row r="298">
          <cell r="D298" t="str">
            <v>https://is.gd/z7vCwm</v>
          </cell>
          <cell r="BC298" t="str">
            <v>CLA222</v>
          </cell>
        </row>
        <row r="299">
          <cell r="D299" t="str">
            <v>https://is.gd/z7vCwm</v>
          </cell>
          <cell r="BC299" t="str">
            <v>CLA222</v>
          </cell>
        </row>
        <row r="300">
          <cell r="D300" t="str">
            <v>https://is.gd/u2q1MI</v>
          </cell>
          <cell r="BC300" t="str">
            <v>CLA224</v>
          </cell>
        </row>
        <row r="301">
          <cell r="D301" t="str">
            <v>https://is.gd/feAYux</v>
          </cell>
          <cell r="BC301" t="str">
            <v>CLA225</v>
          </cell>
        </row>
        <row r="302">
          <cell r="D302" t="str">
            <v>https://is.gd/feAYux</v>
          </cell>
          <cell r="BC302" t="str">
            <v>CLA225</v>
          </cell>
        </row>
        <row r="303">
          <cell r="D303" t="str">
            <v>https://is.gd/feAYux</v>
          </cell>
          <cell r="BC303" t="str">
            <v>CLA225</v>
          </cell>
        </row>
        <row r="304">
          <cell r="D304" t="str">
            <v>https://is.gd/feAYux</v>
          </cell>
          <cell r="BC304" t="str">
            <v>CLA225</v>
          </cell>
        </row>
        <row r="305">
          <cell r="D305" t="str">
            <v>https://is.gd/TTEFTS</v>
          </cell>
          <cell r="BC305" t="str">
            <v>CLA226</v>
          </cell>
        </row>
        <row r="306">
          <cell r="D306" t="str">
            <v>https://is.gd/TTEFTS</v>
          </cell>
          <cell r="BC306" t="str">
            <v>CLA226</v>
          </cell>
        </row>
        <row r="307">
          <cell r="D307" t="str">
            <v>https://is.gd/KXpibO</v>
          </cell>
          <cell r="BC307" t="str">
            <v>CLA227</v>
          </cell>
        </row>
        <row r="308">
          <cell r="D308" t="str">
            <v>https://is.gd/KXpibO</v>
          </cell>
          <cell r="BC308" t="str">
            <v>CLA227</v>
          </cell>
        </row>
        <row r="309">
          <cell r="D309" t="str">
            <v>https://is.gd/fk13SE</v>
          </cell>
          <cell r="BC309" t="str">
            <v>CLA227</v>
          </cell>
        </row>
        <row r="310">
          <cell r="D310" t="str">
            <v>https://is.gd/fk13SE</v>
          </cell>
          <cell r="BC310" t="str">
            <v>CLA227</v>
          </cell>
        </row>
        <row r="311">
          <cell r="D311" t="str">
            <v>https://is.gd/LB51CQb</v>
          </cell>
          <cell r="BC311" t="str">
            <v>CLA230</v>
          </cell>
        </row>
        <row r="312">
          <cell r="D312" t="str">
            <v>https://is.gd/LB51CQb</v>
          </cell>
          <cell r="BC312" t="str">
            <v>CLA230</v>
          </cell>
        </row>
        <row r="313">
          <cell r="D313" t="str">
            <v>https://is.gd/LB51CQb</v>
          </cell>
          <cell r="BC313" t="str">
            <v>CLA230</v>
          </cell>
        </row>
        <row r="314">
          <cell r="D314" t="str">
            <v>https://is.gd/6GdH7K</v>
          </cell>
          <cell r="BC314" t="str">
            <v>CLA234</v>
          </cell>
        </row>
        <row r="315">
          <cell r="D315" t="str">
            <v>https://is.gd/eWe0Lu</v>
          </cell>
          <cell r="BC315" t="str">
            <v>CLA243</v>
          </cell>
        </row>
        <row r="316">
          <cell r="D316" t="str">
            <v>https://is.gd/eWe0Lu</v>
          </cell>
          <cell r="BC316" t="str">
            <v>CLA243</v>
          </cell>
        </row>
        <row r="317">
          <cell r="D317" t="str">
            <v>https://is.gd/eWe0Lu</v>
          </cell>
          <cell r="BC317" t="str">
            <v>CLA243</v>
          </cell>
        </row>
        <row r="318">
          <cell r="D318" t="str">
            <v>https://is.gd/eWe0Lu</v>
          </cell>
          <cell r="BC318" t="str">
            <v>CLA243</v>
          </cell>
        </row>
        <row r="319">
          <cell r="D319" t="str">
            <v>https://is.gd/BVH7YK</v>
          </cell>
          <cell r="BC319" t="str">
            <v>CLA243</v>
          </cell>
        </row>
        <row r="320">
          <cell r="D320" t="str">
            <v>https://is.gd/BVH7YK</v>
          </cell>
          <cell r="BC320" t="str">
            <v>CLA243</v>
          </cell>
        </row>
        <row r="321">
          <cell r="D321" t="str">
            <v>https://is.gd/BVH7YK</v>
          </cell>
          <cell r="BC321" t="str">
            <v>CLA243</v>
          </cell>
        </row>
        <row r="322">
          <cell r="D322" t="str">
            <v>https://is.gd/BVH7YK</v>
          </cell>
          <cell r="BC322" t="str">
            <v>CLA243</v>
          </cell>
        </row>
        <row r="323">
          <cell r="D323" t="str">
            <v>https://is.gd/BVH7YK</v>
          </cell>
          <cell r="BC323" t="str">
            <v>CLA243</v>
          </cell>
        </row>
        <row r="324">
          <cell r="D324" t="str">
            <v>https://is.gd/EPgngf</v>
          </cell>
          <cell r="BC324" t="str">
            <v>CLA244</v>
          </cell>
        </row>
        <row r="325">
          <cell r="D325" t="str">
            <v>https://is.gd/EPgngf</v>
          </cell>
          <cell r="BC325" t="str">
            <v>CLA244</v>
          </cell>
        </row>
        <row r="326">
          <cell r="D326" t="str">
            <v>https://is.gd/EPgngf</v>
          </cell>
          <cell r="BC326" t="str">
            <v>CLA244</v>
          </cell>
        </row>
        <row r="327">
          <cell r="D327" t="str">
            <v>https://is.gd/EPgngf</v>
          </cell>
          <cell r="BC327" t="str">
            <v>CLA244</v>
          </cell>
        </row>
        <row r="328">
          <cell r="D328" t="str">
            <v>https://is.gd/CG1qty</v>
          </cell>
          <cell r="BC328" t="str">
            <v>CLA248</v>
          </cell>
        </row>
        <row r="329">
          <cell r="D329" t="str">
            <v>https://is.gd/CG1qty</v>
          </cell>
          <cell r="BC329" t="str">
            <v>CLA248</v>
          </cell>
        </row>
        <row r="330">
          <cell r="D330" t="str">
            <v>https://is.gd/CG1qty</v>
          </cell>
          <cell r="BC330" t="str">
            <v>CLA248</v>
          </cell>
        </row>
        <row r="331">
          <cell r="D331" t="str">
            <v>https://is.gd/CG1qty</v>
          </cell>
          <cell r="BC331" t="str">
            <v>CLA248</v>
          </cell>
        </row>
        <row r="332">
          <cell r="D332" t="str">
            <v>https://is.gd/gd6fOq</v>
          </cell>
          <cell r="BC332" t="str">
            <v>CLA249</v>
          </cell>
        </row>
        <row r="333">
          <cell r="D333" t="str">
            <v>https://is.gd/gd6fOq</v>
          </cell>
          <cell r="BC333" t="str">
            <v>CLA249</v>
          </cell>
        </row>
        <row r="334">
          <cell r="D334" t="str">
            <v>https://is.gd/gd6fOq</v>
          </cell>
          <cell r="BC334" t="str">
            <v>CLA249</v>
          </cell>
        </row>
        <row r="335">
          <cell r="D335" t="str">
            <v>https://is.gd/gd6fOq</v>
          </cell>
          <cell r="BC335" t="str">
            <v>CLA249</v>
          </cell>
        </row>
        <row r="336">
          <cell r="D336" t="str">
            <v>https://is.gd/gd6fOq</v>
          </cell>
          <cell r="BC336" t="str">
            <v>CLA249</v>
          </cell>
        </row>
        <row r="337">
          <cell r="D337" t="str">
            <v>https://is.gd/ogjeBl</v>
          </cell>
          <cell r="BC337" t="str">
            <v>CLA250</v>
          </cell>
        </row>
        <row r="338">
          <cell r="D338" t="str">
            <v>https://is.gd/ogjeBl</v>
          </cell>
          <cell r="BC338" t="str">
            <v>CLA250</v>
          </cell>
        </row>
        <row r="339">
          <cell r="D339" t="str">
            <v>https://is.gd/ogjeBl</v>
          </cell>
          <cell r="BC339" t="str">
            <v>CLA250</v>
          </cell>
        </row>
        <row r="340">
          <cell r="D340" t="str">
            <v>https://is.gd/ogjeBl</v>
          </cell>
          <cell r="BC340" t="str">
            <v>CLA250</v>
          </cell>
        </row>
        <row r="341">
          <cell r="D341" t="str">
            <v>https://is.gd/ogjeBl</v>
          </cell>
          <cell r="BC341" t="str">
            <v>CLA250</v>
          </cell>
        </row>
        <row r="342">
          <cell r="D342" t="str">
            <v>https://is.gd/MoetVT</v>
          </cell>
          <cell r="BC342" t="str">
            <v>CLA251</v>
          </cell>
        </row>
        <row r="343">
          <cell r="D343" t="str">
            <v>https://is.gd/MoetVT</v>
          </cell>
          <cell r="BC343" t="str">
            <v>CLA251</v>
          </cell>
        </row>
        <row r="344">
          <cell r="D344" t="str">
            <v>https://is.gd/MoetVT</v>
          </cell>
          <cell r="BC344" t="str">
            <v>CLA251</v>
          </cell>
        </row>
        <row r="345">
          <cell r="D345" t="str">
            <v>https://is.gd/MoetVT</v>
          </cell>
          <cell r="BC345" t="str">
            <v>CLA251</v>
          </cell>
        </row>
        <row r="346">
          <cell r="D346" t="str">
            <v>https://is.gd/pRUSRA</v>
          </cell>
          <cell r="BC346" t="str">
            <v>CLA252</v>
          </cell>
        </row>
        <row r="347">
          <cell r="D347" t="str">
            <v>https://is.gd/pRUSRA</v>
          </cell>
          <cell r="BC347" t="str">
            <v>CLA252</v>
          </cell>
        </row>
        <row r="348">
          <cell r="D348" t="str">
            <v>https://is.gd/pRUSRA</v>
          </cell>
          <cell r="BC348" t="str">
            <v>CLA252</v>
          </cell>
        </row>
        <row r="349">
          <cell r="D349" t="str">
            <v>https://is.gd/TquXXX</v>
          </cell>
          <cell r="BC349" t="str">
            <v>CLA256</v>
          </cell>
        </row>
        <row r="350">
          <cell r="D350" t="str">
            <v>https://is.gd/TquXXX</v>
          </cell>
          <cell r="BC350" t="str">
            <v>CLA256</v>
          </cell>
        </row>
        <row r="351">
          <cell r="D351" t="str">
            <v>https://is.gd/TquXXX</v>
          </cell>
          <cell r="BC351" t="str">
            <v>CLA256</v>
          </cell>
        </row>
        <row r="352">
          <cell r="D352" t="str">
            <v>https://is.gd/TquXXX</v>
          </cell>
          <cell r="BC352" t="str">
            <v>CLA256</v>
          </cell>
        </row>
        <row r="353">
          <cell r="D353" t="str">
            <v>https://is.gd/UFOgYK</v>
          </cell>
          <cell r="BC353" t="str">
            <v>CLA257</v>
          </cell>
        </row>
        <row r="354">
          <cell r="D354" t="str">
            <v>https://is.gd/UFOgYK</v>
          </cell>
          <cell r="BC354" t="str">
            <v>CLA257</v>
          </cell>
        </row>
        <row r="355">
          <cell r="D355" t="str">
            <v>https://is.gd/UFOgYK</v>
          </cell>
          <cell r="BC355" t="str">
            <v>CLA257</v>
          </cell>
        </row>
        <row r="356">
          <cell r="D356" t="str">
            <v>https://is.gd/UFOgYK</v>
          </cell>
          <cell r="BC356" t="str">
            <v>CLA257</v>
          </cell>
        </row>
        <row r="357">
          <cell r="D357" t="str">
            <v>https://is.gd/UFOgYK</v>
          </cell>
          <cell r="BC357" t="str">
            <v>CLA257</v>
          </cell>
        </row>
        <row r="358">
          <cell r="D358" t="str">
            <v>https://is.gd/9gYbx2</v>
          </cell>
          <cell r="BC358" t="str">
            <v>CLA258</v>
          </cell>
        </row>
        <row r="359">
          <cell r="D359" t="str">
            <v>https://is.gd/9gYbx2</v>
          </cell>
          <cell r="BC359" t="str">
            <v>CLA258</v>
          </cell>
        </row>
        <row r="360">
          <cell r="D360" t="str">
            <v>https://is.gd/9gYbx2</v>
          </cell>
          <cell r="BC360" t="str">
            <v>CLA258</v>
          </cell>
        </row>
        <row r="361">
          <cell r="D361" t="str">
            <v>https://is.gd/9gYbx2</v>
          </cell>
          <cell r="BC361" t="str">
            <v>CLA258</v>
          </cell>
        </row>
        <row r="362">
          <cell r="D362" t="str">
            <v>https://is.gd/9gYbx2</v>
          </cell>
          <cell r="BC362" t="str">
            <v>CLA258</v>
          </cell>
        </row>
        <row r="363">
          <cell r="D363" t="str">
            <v>https://is.gd/GAXI9J</v>
          </cell>
          <cell r="BC363" t="str">
            <v>CLA259</v>
          </cell>
        </row>
        <row r="364">
          <cell r="D364" t="str">
            <v>https://is.gd/GAXI9J</v>
          </cell>
          <cell r="BC364" t="str">
            <v>CLA259</v>
          </cell>
        </row>
        <row r="365">
          <cell r="D365" t="str">
            <v>https://is.gd/ro8K89</v>
          </cell>
          <cell r="BC365" t="str">
            <v>CLA260</v>
          </cell>
        </row>
        <row r="366">
          <cell r="D366" t="str">
            <v>https://is.gd/ro8K89</v>
          </cell>
          <cell r="BC366" t="str">
            <v>CLA260</v>
          </cell>
        </row>
        <row r="367">
          <cell r="D367" t="str">
            <v>https://is.gd/ro8K89</v>
          </cell>
          <cell r="BC367" t="str">
            <v>CLA260</v>
          </cell>
        </row>
        <row r="368">
          <cell r="D368" t="str">
            <v>https://is.gd/ro8K89</v>
          </cell>
          <cell r="BC368" t="str">
            <v>CLA260</v>
          </cell>
        </row>
        <row r="369">
          <cell r="D369" t="str">
            <v>https://is.gd/t4JLJW</v>
          </cell>
          <cell r="BC369" t="str">
            <v>CLA260</v>
          </cell>
        </row>
        <row r="370">
          <cell r="D370" t="str">
            <v>https://is.gd/v4eDgc</v>
          </cell>
          <cell r="BC370" t="str">
            <v>CLA262</v>
          </cell>
        </row>
        <row r="371">
          <cell r="D371" t="str">
            <v>https://is.gd/v4eDgc</v>
          </cell>
          <cell r="BC371" t="str">
            <v>CLA262</v>
          </cell>
        </row>
        <row r="372">
          <cell r="D372" t="str">
            <v>https://is.gd/at0ipk</v>
          </cell>
          <cell r="BC372" t="str">
            <v>CLA263</v>
          </cell>
        </row>
        <row r="373">
          <cell r="D373" t="str">
            <v>https://is.gd/at0ipk</v>
          </cell>
          <cell r="BC373" t="str">
            <v>CLA263</v>
          </cell>
        </row>
        <row r="374">
          <cell r="D374" t="str">
            <v>https://is.gd/at0ipk</v>
          </cell>
          <cell r="BC374" t="str">
            <v>CLA263</v>
          </cell>
        </row>
        <row r="375">
          <cell r="D375" t="str">
            <v>https://is.gd/cWROUg</v>
          </cell>
          <cell r="BC375" t="str">
            <v>CLA263</v>
          </cell>
        </row>
        <row r="376">
          <cell r="D376" t="str">
            <v>https://is.gd/zxJTYy</v>
          </cell>
          <cell r="BC376" t="str">
            <v>CLA264</v>
          </cell>
        </row>
        <row r="377">
          <cell r="D377" t="str">
            <v>https://is.gd/zxJTYy</v>
          </cell>
          <cell r="BC377" t="str">
            <v>CLA264</v>
          </cell>
        </row>
        <row r="378">
          <cell r="D378" t="str">
            <v>https://is.gd/zxJTYy</v>
          </cell>
          <cell r="BC378" t="str">
            <v>CLA264</v>
          </cell>
        </row>
        <row r="379">
          <cell r="D379" t="str">
            <v>https://is.gd/zxJTYy</v>
          </cell>
          <cell r="BC379" t="str">
            <v>CLA264</v>
          </cell>
        </row>
        <row r="380">
          <cell r="D380" t="str">
            <v>https://is.gd/8kCAnY</v>
          </cell>
          <cell r="BC380" t="str">
            <v>CLA266</v>
          </cell>
        </row>
        <row r="381">
          <cell r="D381" t="str">
            <v>https://is.gd/8kCAnY</v>
          </cell>
          <cell r="BC381" t="str">
            <v>CLA266</v>
          </cell>
        </row>
        <row r="382">
          <cell r="D382" t="str">
            <v>https://is.gd/8kCAnY</v>
          </cell>
          <cell r="BC382" t="str">
            <v>CLA266</v>
          </cell>
        </row>
        <row r="383">
          <cell r="D383" t="str">
            <v>https://is.gd/j7pBq4</v>
          </cell>
          <cell r="BC383" t="str">
            <v>CLA267</v>
          </cell>
        </row>
        <row r="384">
          <cell r="D384" t="str">
            <v>https://is.gd/j7pBq4</v>
          </cell>
          <cell r="BC384" t="str">
            <v>CLA267</v>
          </cell>
        </row>
        <row r="385">
          <cell r="D385" t="str">
            <v>https://is.gd/j7pBq4</v>
          </cell>
          <cell r="BC385" t="str">
            <v>CLA267</v>
          </cell>
        </row>
        <row r="386">
          <cell r="D386" t="str">
            <v>https://is.gd/wLg4Mi</v>
          </cell>
          <cell r="BC386" t="str">
            <v>CLA268</v>
          </cell>
        </row>
        <row r="387">
          <cell r="D387" t="str">
            <v>https://is.gd/wLg4Mi</v>
          </cell>
          <cell r="BC387" t="str">
            <v>CLA268</v>
          </cell>
        </row>
        <row r="388">
          <cell r="D388" t="str">
            <v>https://is.gd/wLg4Mi</v>
          </cell>
          <cell r="BC388" t="str">
            <v>CLA268</v>
          </cell>
        </row>
        <row r="389">
          <cell r="D389" t="str">
            <v>https://is.gd/KmT8jG</v>
          </cell>
          <cell r="BC389" t="str">
            <v>CLA285</v>
          </cell>
        </row>
        <row r="390">
          <cell r="D390" t="str">
            <v>https://is.gd/KmT8jG</v>
          </cell>
          <cell r="BC390" t="str">
            <v>CLA285</v>
          </cell>
        </row>
        <row r="391">
          <cell r="D391" t="str">
            <v>https://is.gd/2UqZ3S</v>
          </cell>
          <cell r="BC391" t="str">
            <v>CLA286</v>
          </cell>
        </row>
        <row r="392">
          <cell r="D392" t="str">
            <v>https://is.gd/2UqZ3S</v>
          </cell>
          <cell r="BC392" t="str">
            <v>CLA286</v>
          </cell>
        </row>
        <row r="393">
          <cell r="D393" t="str">
            <v>https://is.gd/2UqZ3S</v>
          </cell>
          <cell r="BC393" t="str">
            <v>CLA286</v>
          </cell>
        </row>
        <row r="394">
          <cell r="D394" t="str">
            <v>https://is.gd/2UqZ3S</v>
          </cell>
          <cell r="BC394" t="str">
            <v>CLA286</v>
          </cell>
        </row>
        <row r="395">
          <cell r="D395" t="str">
            <v>https://is.gd/2UqZ3S</v>
          </cell>
          <cell r="BC395" t="str">
            <v>CLA286</v>
          </cell>
        </row>
        <row r="396">
          <cell r="D396" t="str">
            <v>https://is.gd/TuWspH</v>
          </cell>
          <cell r="BC396" t="str">
            <v>CLA287</v>
          </cell>
        </row>
        <row r="397">
          <cell r="D397" t="str">
            <v>https://is.gd/TuWspH</v>
          </cell>
          <cell r="BC397" t="str">
            <v>CLA287</v>
          </cell>
        </row>
        <row r="398">
          <cell r="D398" t="str">
            <v>https://is.gd/TuWspH</v>
          </cell>
          <cell r="BC398" t="str">
            <v>CLA287</v>
          </cell>
        </row>
        <row r="399">
          <cell r="D399" t="str">
            <v>https://is.gd/TuWspH</v>
          </cell>
          <cell r="BC399" t="str">
            <v>CLA287</v>
          </cell>
        </row>
        <row r="400">
          <cell r="D400" t="str">
            <v>https://is.gd/YsoStD</v>
          </cell>
          <cell r="BC400" t="str">
            <v>CLA288</v>
          </cell>
        </row>
        <row r="401">
          <cell r="D401" t="str">
            <v>https://is.gd/YsoStD</v>
          </cell>
          <cell r="BC401" t="str">
            <v>CLA288</v>
          </cell>
        </row>
        <row r="402">
          <cell r="D402" t="str">
            <v>https://is.gd/YsoStD</v>
          </cell>
          <cell r="BC402" t="str">
            <v>CLA288</v>
          </cell>
        </row>
        <row r="403">
          <cell r="D403" t="str">
            <v>https://is.gd/YsoStD</v>
          </cell>
          <cell r="BC403" t="str">
            <v>CLA288</v>
          </cell>
        </row>
        <row r="404">
          <cell r="D404" t="str">
            <v>https://is.gd/RL2RxN</v>
          </cell>
          <cell r="BC404" t="str">
            <v>CLA289</v>
          </cell>
        </row>
        <row r="405">
          <cell r="D405" t="str">
            <v>https://is.gd/RL2RxN</v>
          </cell>
          <cell r="BC405" t="str">
            <v>CLA289</v>
          </cell>
        </row>
        <row r="406">
          <cell r="D406" t="str">
            <v>https://is.gd/RL2RxN</v>
          </cell>
          <cell r="BC406" t="str">
            <v>CLA289</v>
          </cell>
        </row>
        <row r="407">
          <cell r="D407" t="str">
            <v>https://is.gd/706MFN</v>
          </cell>
          <cell r="BC407" t="str">
            <v>CLA291</v>
          </cell>
        </row>
        <row r="408">
          <cell r="D408" t="str">
            <v>https://is.gd/706MFN</v>
          </cell>
          <cell r="BC408" t="str">
            <v>CLA291</v>
          </cell>
        </row>
        <row r="409">
          <cell r="D409" t="str">
            <v>https://is.gd/706MFN</v>
          </cell>
          <cell r="BC409" t="str">
            <v>CLA291</v>
          </cell>
        </row>
        <row r="410">
          <cell r="D410" t="str">
            <v>https://is.gd/706MFN</v>
          </cell>
          <cell r="BC410" t="str">
            <v>CLA291</v>
          </cell>
        </row>
        <row r="411">
          <cell r="D411" t="str">
            <v>https://is.gd/Bto7wo</v>
          </cell>
          <cell r="BC411" t="str">
            <v>CLA292</v>
          </cell>
        </row>
        <row r="412">
          <cell r="D412" t="str">
            <v>https://is.gd/Bto7wo</v>
          </cell>
          <cell r="BC412" t="str">
            <v>CLA292</v>
          </cell>
        </row>
        <row r="413">
          <cell r="D413" t="str">
            <v>https://is.gd/PgyUds</v>
          </cell>
          <cell r="BC413" t="str">
            <v>CLA293</v>
          </cell>
        </row>
        <row r="414">
          <cell r="D414" t="str">
            <v>https://is.gd/PgyUds</v>
          </cell>
          <cell r="BC414" t="str">
            <v>CLA293</v>
          </cell>
        </row>
        <row r="415">
          <cell r="D415" t="str">
            <v>https://is.gd/nDPhwe</v>
          </cell>
          <cell r="BC415" t="str">
            <v>CLA294</v>
          </cell>
        </row>
        <row r="416">
          <cell r="D416" t="str">
            <v>https://is.gd/nDPhwe</v>
          </cell>
          <cell r="BC416" t="str">
            <v>CLA294</v>
          </cell>
        </row>
        <row r="417">
          <cell r="D417" t="str">
            <v>https://is.gd/nDPhwe</v>
          </cell>
          <cell r="BC417" t="str">
            <v>CLA294</v>
          </cell>
        </row>
        <row r="418">
          <cell r="D418" t="str">
            <v>https://is.gd/i5sNRK</v>
          </cell>
          <cell r="BC418" t="str">
            <v>CLA298</v>
          </cell>
        </row>
        <row r="419">
          <cell r="D419" t="str">
            <v>https://is.gd/7HQNqY</v>
          </cell>
          <cell r="BC419" t="str">
            <v>CLA298</v>
          </cell>
        </row>
        <row r="420">
          <cell r="D420" t="str">
            <v>https://is.gd/7HQNqY</v>
          </cell>
          <cell r="BC420" t="str">
            <v>CLA298</v>
          </cell>
        </row>
        <row r="421">
          <cell r="D421" t="str">
            <v>https://is.gd/7HQNqY</v>
          </cell>
          <cell r="BC421" t="str">
            <v>CLA298</v>
          </cell>
        </row>
        <row r="422">
          <cell r="D422" t="str">
            <v>https://is.gd/YsRfPC</v>
          </cell>
          <cell r="BC422" t="str">
            <v>CLA300</v>
          </cell>
        </row>
        <row r="423">
          <cell r="D423" t="str">
            <v>https://is.gd/YsRfPC</v>
          </cell>
          <cell r="BC423" t="str">
            <v>CLA300</v>
          </cell>
        </row>
        <row r="424">
          <cell r="D424" t="str">
            <v>https://is.gd/qbCs6S</v>
          </cell>
          <cell r="BC424" t="str">
            <v>CLA302</v>
          </cell>
        </row>
        <row r="425">
          <cell r="D425" t="str">
            <v>https://is.gd/qbCs6S</v>
          </cell>
          <cell r="BC425" t="str">
            <v>CLA302</v>
          </cell>
        </row>
        <row r="426">
          <cell r="D426" t="str">
            <v>https://is.gd/qbCs6S</v>
          </cell>
          <cell r="BC426" t="str">
            <v>CLA302</v>
          </cell>
        </row>
        <row r="427">
          <cell r="D427" t="str">
            <v>https://is.gd/JsRf5F</v>
          </cell>
          <cell r="BC427" t="str">
            <v>CLA306</v>
          </cell>
        </row>
        <row r="428">
          <cell r="D428" t="str">
            <v>https://is.gd/b6k9Z0</v>
          </cell>
          <cell r="BC428" t="str">
            <v>CLA309</v>
          </cell>
        </row>
        <row r="429">
          <cell r="D429" t="str">
            <v>https://is.gd/b6k9Z0</v>
          </cell>
          <cell r="BC429" t="str">
            <v>CLA309</v>
          </cell>
        </row>
        <row r="430">
          <cell r="D430" t="str">
            <v>https://is.gd/uTYB6V</v>
          </cell>
          <cell r="BC430" t="str">
            <v>CLA310</v>
          </cell>
        </row>
        <row r="431">
          <cell r="D431" t="str">
            <v>https://is.gd/Ir2y5R</v>
          </cell>
          <cell r="BC431" t="str">
            <v>CLA312</v>
          </cell>
        </row>
        <row r="432">
          <cell r="D432" t="str">
            <v>https://is.gd/dkTtYF</v>
          </cell>
          <cell r="BC432" t="str">
            <v>CLA326</v>
          </cell>
        </row>
        <row r="433">
          <cell r="D433" t="str">
            <v>https://is.gd/PtyY0O</v>
          </cell>
          <cell r="BC433" t="str">
            <v>CLA006</v>
          </cell>
        </row>
        <row r="434">
          <cell r="D434" t="str">
            <v>https://is.gd/Pdm1M7</v>
          </cell>
          <cell r="BC434" t="str">
            <v>CLA056</v>
          </cell>
        </row>
        <row r="435">
          <cell r="D435" t="str">
            <v>https://is.gd/BWPcn4</v>
          </cell>
          <cell r="BC435" t="str">
            <v>CLA008</v>
          </cell>
        </row>
        <row r="436">
          <cell r="D436" t="str">
            <v>https://is.gd/mS5hDv</v>
          </cell>
          <cell r="BC436" t="str">
            <v>CLA199</v>
          </cell>
        </row>
        <row r="437">
          <cell r="D437" t="str">
            <v>https://is.gd/XFHDWR</v>
          </cell>
          <cell r="BC437" t="str">
            <v>CLA203</v>
          </cell>
        </row>
        <row r="438">
          <cell r="D438" t="str">
            <v>https://is.gd/XFHDWR</v>
          </cell>
          <cell r="BC438" t="str">
            <v>CLA203</v>
          </cell>
        </row>
        <row r="439">
          <cell r="D439" t="str">
            <v>https://is.gd/t4JLJW</v>
          </cell>
          <cell r="BC439" t="str">
            <v>CLA260</v>
          </cell>
        </row>
        <row r="440">
          <cell r="D440" t="str">
            <v>https://is.gd/t4JLJW</v>
          </cell>
          <cell r="BC440" t="str">
            <v>CLA260</v>
          </cell>
        </row>
        <row r="441">
          <cell r="D441" t="str">
            <v>https://is.gd/t4JLJW</v>
          </cell>
          <cell r="BC441" t="str">
            <v>CLA260</v>
          </cell>
        </row>
        <row r="442">
          <cell r="D442" t="str">
            <v>https://is.gd/706MFN</v>
          </cell>
          <cell r="BC442" t="str">
            <v>CLA291</v>
          </cell>
        </row>
        <row r="443">
          <cell r="D443" t="str">
            <v>https://is.gd/cWROUg</v>
          </cell>
          <cell r="BC443" t="str">
            <v>CLA263</v>
          </cell>
        </row>
        <row r="444">
          <cell r="D444" t="str">
            <v>https://is.gd/gjW7Gn</v>
          </cell>
          <cell r="BC444" t="str">
            <v>CLA094</v>
          </cell>
        </row>
        <row r="445">
          <cell r="BC445" t="str">
            <v/>
          </cell>
        </row>
        <row r="446">
          <cell r="BC446" t="str">
            <v/>
          </cell>
        </row>
        <row r="447">
          <cell r="BC447" t="str">
            <v/>
          </cell>
        </row>
        <row r="448">
          <cell r="BC448" t="str">
            <v/>
          </cell>
        </row>
        <row r="449">
          <cell r="BC449" t="str">
            <v/>
          </cell>
        </row>
        <row r="450">
          <cell r="BC450" t="str">
            <v/>
          </cell>
        </row>
        <row r="451">
          <cell r="BC451" t="str">
            <v/>
          </cell>
        </row>
        <row r="452">
          <cell r="BC452" t="str">
            <v/>
          </cell>
        </row>
        <row r="453">
          <cell r="BC453" t="str">
            <v/>
          </cell>
        </row>
        <row r="454">
          <cell r="BC454" t="str">
            <v/>
          </cell>
        </row>
        <row r="455">
          <cell r="BC455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cap"/>
      <sheetName val="Consolidation"/>
      <sheetName val="Individus"/>
      <sheetName val="Apprenants"/>
      <sheetName val="Beneficiaires"/>
      <sheetName val="Classes"/>
      <sheetName val="PADESCE Ccontractuelle"/>
      <sheetName val="Formations"/>
      <sheetName val="Prestations"/>
      <sheetName val="Prestataires"/>
      <sheetName val="Sites"/>
      <sheetName val="Lieux"/>
      <sheetName val="Inspecteurs"/>
      <sheetName val="PATH Presence"/>
      <sheetName val="ListesDV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CLA001</v>
          </cell>
          <cell r="C2" t="str">
            <v>CENTRE DE FORMATION PROFESSIONNELLE PONTAAH</v>
          </cell>
          <cell r="D2" t="str">
            <v>SCOOP YILLAGA YAOURT DU MAYO-KANI (COOP SYYMK)</v>
          </cell>
        </row>
        <row r="3">
          <cell r="A3" t="str">
            <v>CLA002</v>
          </cell>
          <cell r="C3" t="str">
            <v>CENTRE DE FORMATION PROFESSIONNELLE PONTAAH</v>
          </cell>
          <cell r="D3" t="str">
            <v>SCOOP YILLAGA YAOURT DU MAYO-KANI (COOP SYYMK)</v>
          </cell>
        </row>
        <row r="4">
          <cell r="A4" t="str">
            <v>CLA003</v>
          </cell>
          <cell r="C4" t="str">
            <v>CENTRE DE FORMATION PROFESSIONNELLE PONTAAH</v>
          </cell>
          <cell r="D4" t="str">
            <v>WOMEN ENTREPRENEURSHIP FACILITATION NETWORK (WEFN)</v>
          </cell>
        </row>
        <row r="5">
          <cell r="A5" t="str">
            <v>CLA004</v>
          </cell>
          <cell r="C5" t="str">
            <v>CENTRE DE FORMATION PROFESSIONNELLE PONTAAH</v>
          </cell>
          <cell r="D5" t="str">
            <v>WOMEN ENTREPRENEURSHIP FACILITATION NETWORK (WEFN)</v>
          </cell>
        </row>
        <row r="6">
          <cell r="A6" t="str">
            <v>CLA005</v>
          </cell>
          <cell r="C6" t="str">
            <v>CENTRE DE FORMATION PROFESSIONNELLE PONTAAH</v>
          </cell>
          <cell r="D6" t="str">
            <v>GIC AGROPASTORAL KETTY</v>
          </cell>
        </row>
        <row r="7">
          <cell r="A7" t="str">
            <v>CLA006</v>
          </cell>
          <cell r="C7" t="str">
            <v>CENTRE DE FORMATION PROFESSIONNELLE PONTAAH</v>
          </cell>
          <cell r="D7" t="str">
            <v>WOMEN ENTREPRENEURSHIP FACILITATION NETWORK (WEFN)</v>
          </cell>
        </row>
        <row r="8">
          <cell r="A8" t="str">
            <v>CLA007</v>
          </cell>
          <cell r="C8" t="str">
            <v>CENTRE DE FORMATION PROFESSIONNELLE PONTAAH</v>
          </cell>
          <cell r="D8" t="str">
            <v>WOMEN ENTREPRENEURSHIP FACILITATION NETWORK (WEFN)</v>
          </cell>
        </row>
        <row r="9">
          <cell r="A9" t="str">
            <v>CLA008</v>
          </cell>
          <cell r="C9" t="str">
            <v>CENTRE DE FORMATION PROFESSIONNELLE PONTAAH</v>
          </cell>
          <cell r="D9" t="str">
            <v>WOMEN ENTREPRENEURSHIP FACILITATION NETWORK (WEFN)</v>
          </cell>
        </row>
        <row r="10">
          <cell r="A10" t="str">
            <v>CLA009</v>
          </cell>
          <cell r="C10" t="str">
            <v>CENTRE DE FORMATION PROFESSIONNELLE PONTAAH</v>
          </cell>
          <cell r="D10" t="str">
            <v>SCOOP YILLAGA YAOURT DU MAYO-KANI (COOP SYYMK)</v>
          </cell>
        </row>
        <row r="11">
          <cell r="A11" t="str">
            <v>CLA010</v>
          </cell>
          <cell r="C11" t="str">
            <v>CENTRE DE FORMATION PROFESSIONNELLE PONTAAH</v>
          </cell>
          <cell r="D11" t="str">
            <v>SCOOP YILLAGA YAOURT DU MAYO-KANI (COOP SYYMK)</v>
          </cell>
        </row>
        <row r="12">
          <cell r="A12" t="str">
            <v>CLA011</v>
          </cell>
          <cell r="C12" t="str">
            <v>IFP CHEC</v>
          </cell>
          <cell r="D12" t="str">
            <v>GROUPEMENT INTERPROFESSIONNEL DES ARTISANS (GIPA)</v>
          </cell>
        </row>
        <row r="13">
          <cell r="A13" t="str">
            <v>CLA012</v>
          </cell>
          <cell r="C13" t="str">
            <v>CODEA-IAO</v>
          </cell>
          <cell r="D13" t="str">
            <v>INNOVATION &amp; TECH HUB (IT KOLA)</v>
          </cell>
        </row>
        <row r="14">
          <cell r="A14" t="str">
            <v>CLA013</v>
          </cell>
          <cell r="C14" t="str">
            <v>CFP MRI de Pitoa (pour plomberie &amp; climatisation)</v>
          </cell>
          <cell r="D14" t="str">
            <v>GLOBAL ENERGY SOLUTIONS</v>
          </cell>
        </row>
        <row r="15">
          <cell r="A15" t="str">
            <v>CLA014</v>
          </cell>
          <cell r="C15" t="str">
            <v>CADHAC</v>
          </cell>
          <cell r="D15" t="str">
            <v>CHAMBRE D'AGRICULTURE, DES PÊCHES, DE L'ELEVAGE ET DES FORÊTS DU CAMEROUN (CAPEF)</v>
          </cell>
        </row>
        <row r="16">
          <cell r="A16" t="str">
            <v>CLA015</v>
          </cell>
          <cell r="C16" t="str">
            <v>CFP-EN</v>
          </cell>
          <cell r="D16" t="str">
            <v>CASSAVA GOLD</v>
          </cell>
        </row>
        <row r="17">
          <cell r="A17" t="str">
            <v>CLA016</v>
          </cell>
          <cell r="C17" t="str">
            <v>NAT TECHNOLOGIES</v>
          </cell>
          <cell r="D17" t="str">
            <v>ASSOCIATION DES ENTREPRENEURS INGENIEUX D'AFRIQUE (ASENIA)</v>
          </cell>
        </row>
        <row r="18">
          <cell r="A18" t="str">
            <v>CLA017</v>
          </cell>
          <cell r="C18" t="str">
            <v>NAT TECHNOLOGIES</v>
          </cell>
          <cell r="D18" t="str">
            <v>ASSOCIATION DES ENTREPRENEURS INGENIEUX D'AFRIQUE (ASENIA)</v>
          </cell>
        </row>
        <row r="19">
          <cell r="A19" t="str">
            <v>CLA018</v>
          </cell>
          <cell r="C19" t="str">
            <v>NAT TECHNOLOGIES</v>
          </cell>
          <cell r="D19" t="str">
            <v>ASSOCIATION DES ENTREPRENEURS INGENIEUX D'AFRIQUE (ASENIA)</v>
          </cell>
        </row>
        <row r="20">
          <cell r="A20" t="str">
            <v>CLA019</v>
          </cell>
          <cell r="C20" t="str">
            <v>NAT TECHNOLOGIES</v>
          </cell>
          <cell r="D20" t="str">
            <v>ASSOCIATION DES ENTREPRENEURS INGENIEUX D'AFRIQUE (ASENIA)</v>
          </cell>
        </row>
        <row r="21">
          <cell r="A21" t="str">
            <v>CLA020</v>
          </cell>
          <cell r="C21" t="str">
            <v>NAT TECHNOLOGIES</v>
          </cell>
          <cell r="D21" t="str">
            <v>ASSOCIATION DES ENTREPRENEURS INGENIEUX D'AFRIQUE (ASENIA)</v>
          </cell>
        </row>
        <row r="22">
          <cell r="A22" t="str">
            <v>CLA021</v>
          </cell>
          <cell r="C22" t="str">
            <v>MOORE STEPHEN</v>
          </cell>
          <cell r="D22" t="str">
            <v>GIPEC TOUKAM</v>
          </cell>
        </row>
        <row r="23">
          <cell r="A23" t="str">
            <v>CLA022</v>
          </cell>
          <cell r="C23" t="str">
            <v>BBV FOODS SARL</v>
          </cell>
          <cell r="D23" t="str">
            <v>BELLE ETOILE SCOOPS</v>
          </cell>
        </row>
        <row r="24">
          <cell r="A24" t="str">
            <v>CLA023</v>
          </cell>
          <cell r="C24" t="str">
            <v>BBV FOODS SARL</v>
          </cell>
          <cell r="D24" t="str">
            <v>BELLE ETOILE SCOOPS</v>
          </cell>
        </row>
        <row r="25">
          <cell r="A25" t="str">
            <v>CLA024</v>
          </cell>
          <cell r="C25" t="str">
            <v>AMIFO CIG</v>
          </cell>
          <cell r="D25" t="str">
            <v>PROMINENT YOUTH FOR EFFICIENT DEVELOPMENT AND MUTUAL ASSISTANCE CIG</v>
          </cell>
        </row>
        <row r="26">
          <cell r="A26" t="str">
            <v>CLA025</v>
          </cell>
          <cell r="C26" t="str">
            <v>NAT TECHNOLOGIES</v>
          </cell>
          <cell r="D26" t="str">
            <v>ASSOCIATION DES ENTREPRENEURS INGENIEUX D'AFRIQUE (ASENIA)</v>
          </cell>
        </row>
        <row r="27">
          <cell r="A27" t="str">
            <v>CLA026</v>
          </cell>
          <cell r="C27" t="str">
            <v>AMIFO CIG</v>
          </cell>
          <cell r="D27" t="str">
            <v>WESTERN BAKOSSI LIVESTOCK AND ENVIRONMENTAL PRESERVATION CO-OPERATIVE SOCIETY (WEBALEPCO)</v>
          </cell>
        </row>
        <row r="28">
          <cell r="A28" t="str">
            <v>CLA027</v>
          </cell>
          <cell r="C28" t="str">
            <v>NAT TECHNOLOGIES</v>
          </cell>
          <cell r="D28" t="str">
            <v>ASSOCIATION DES ENTREPRENEURS INGENIEUX D'AFRIQUE (ASENIA)</v>
          </cell>
        </row>
        <row r="29">
          <cell r="A29" t="str">
            <v>CLA028</v>
          </cell>
          <cell r="C29" t="str">
            <v>CODEA-IAO</v>
          </cell>
          <cell r="D29" t="str">
            <v>ASSOCIATION DES ENFANTS ET JEUNES TRAVAILLEURS DU CAMEROUN (AEJT CAM)</v>
          </cell>
        </row>
        <row r="30">
          <cell r="A30" t="str">
            <v>CLA029</v>
          </cell>
          <cell r="C30" t="str">
            <v>EPAB</v>
          </cell>
          <cell r="D30" t="str">
            <v>CHAMBRE D'AGRICULTURE, DES PÊCHES, DE L'ELEVAGE ET DES FORÊTS DU CAMEROUN (CAPEF)</v>
          </cell>
        </row>
        <row r="31">
          <cell r="A31" t="str">
            <v>CLA030</v>
          </cell>
          <cell r="C31" t="str">
            <v>EPAB</v>
          </cell>
          <cell r="D31" t="str">
            <v>CHAMBRE D'AGRICULTURE, DES PÊCHES, DE L'ELEVAGE ET DES FORÊTS DU CAMEROUN (CAPEF)</v>
          </cell>
        </row>
        <row r="32">
          <cell r="A32" t="str">
            <v>CLA031</v>
          </cell>
          <cell r="C32" t="str">
            <v>EPAB</v>
          </cell>
          <cell r="D32" t="str">
            <v>CHAMBRE D'AGRICULTURE, DES PÊCHES, DE L'ELEVAGE ET DES FORÊTS DU CAMEROUN (CAPEF)</v>
          </cell>
        </row>
        <row r="33">
          <cell r="A33" t="str">
            <v>CLA032</v>
          </cell>
          <cell r="C33" t="str">
            <v>EPAB</v>
          </cell>
          <cell r="D33" t="str">
            <v>CHAMBRE D'AGRICULTURE, DES PÊCHES, DE L'ELEVAGE ET DES FORÊTS DU CAMEROUN (CAPEF)</v>
          </cell>
        </row>
        <row r="34">
          <cell r="A34" t="str">
            <v>CLA033</v>
          </cell>
          <cell r="C34" t="str">
            <v>NAT TECHNOLOGIES</v>
          </cell>
          <cell r="D34" t="str">
            <v>ASSOCIATION DES ENTREPRENEURS INGENIEUX D'AFRIQUE (ASENIA)</v>
          </cell>
        </row>
        <row r="35">
          <cell r="A35" t="str">
            <v>CLA034</v>
          </cell>
          <cell r="C35" t="str">
            <v>NAT TECHNOLOGIES</v>
          </cell>
          <cell r="D35" t="str">
            <v>ASSOCIATION DES ENTREPRENEURS INGENIEUX D'AFRIQUE (ASENIA)</v>
          </cell>
        </row>
        <row r="36">
          <cell r="A36" t="str">
            <v>CLA035</v>
          </cell>
          <cell r="C36" t="str">
            <v>INSTITUT SUPERIEUR DE MANAGEMENT ET DES TECHNOLOGIES APPLIQUEES (ISMTA)</v>
          </cell>
          <cell r="D36" t="str">
            <v>P'EVENT BUSINESS</v>
          </cell>
        </row>
        <row r="37">
          <cell r="A37" t="str">
            <v>CLA036</v>
          </cell>
          <cell r="C37" t="str">
            <v>INSTITUT SUPERIEUR DE MANAGEMENT ET DES TECHNOLOGIES APPLIQUEES (ISMTA)</v>
          </cell>
          <cell r="D37" t="str">
            <v>AFRAJEPE (ASSOCIATION DE FORMATION DE REINSERTION, D'ASSISTANCE A LA JEUNESSE ET DE LA PROTECTION DE L'ENVIRONNEMENT)</v>
          </cell>
        </row>
        <row r="38">
          <cell r="A38" t="str">
            <v>CLA037</v>
          </cell>
          <cell r="C38" t="str">
            <v>CFP FAMEAC</v>
          </cell>
          <cell r="D38" t="str">
            <v>COOP CA WALDE BEKA MARDOCK</v>
          </cell>
        </row>
        <row r="39">
          <cell r="A39" t="str">
            <v>CLA038</v>
          </cell>
          <cell r="C39" t="str">
            <v>RINOO CAMEROON LTD</v>
          </cell>
          <cell r="D39" t="str">
            <v>DIGITAL RENTER INC</v>
          </cell>
        </row>
        <row r="40">
          <cell r="A40" t="str">
            <v>CLA039</v>
          </cell>
          <cell r="C40" t="str">
            <v>RINOO CAMEROON LTD</v>
          </cell>
          <cell r="D40" t="str">
            <v>MIKE YANOU FOUNDATION</v>
          </cell>
        </row>
        <row r="41">
          <cell r="A41" t="str">
            <v>CLA040</v>
          </cell>
          <cell r="C41" t="str">
            <v>DREAM AGRO CONSULTING</v>
          </cell>
          <cell r="D41" t="str">
            <v>GIC JAECIK</v>
          </cell>
        </row>
        <row r="42">
          <cell r="A42" t="str">
            <v>CLA041</v>
          </cell>
          <cell r="C42" t="str">
            <v>DREAM AGRO CONSULTING</v>
          </cell>
          <cell r="D42" t="str">
            <v>GIC JAECIK</v>
          </cell>
        </row>
        <row r="43">
          <cell r="A43" t="str">
            <v>CLA042</v>
          </cell>
          <cell r="C43" t="str">
            <v>Centre de Formation et d'Education aux Métiers (CFEM)</v>
          </cell>
          <cell r="D43" t="str">
            <v>TPA LOGONE RIZ</v>
          </cell>
        </row>
        <row r="44">
          <cell r="A44" t="str">
            <v>CLA043</v>
          </cell>
          <cell r="C44" t="str">
            <v>Centre de Formation et d'Education aux Métiers (CFEM)</v>
          </cell>
          <cell r="D44" t="str">
            <v>TPA LOGONE RIZ</v>
          </cell>
        </row>
        <row r="45">
          <cell r="A45" t="str">
            <v>CLA044</v>
          </cell>
          <cell r="C45" t="str">
            <v>Centre de Formation et d'Education aux Métiers (CFEM)</v>
          </cell>
          <cell r="D45" t="str">
            <v>TPA LOGONE RIZ</v>
          </cell>
        </row>
        <row r="46">
          <cell r="A46" t="str">
            <v>CLA045</v>
          </cell>
          <cell r="C46" t="str">
            <v>Centre de Formation et d'Education aux Métiers (CFEM)</v>
          </cell>
          <cell r="D46" t="str">
            <v>TPA LOGONE RIZ</v>
          </cell>
        </row>
        <row r="47">
          <cell r="A47" t="str">
            <v>CLA046</v>
          </cell>
          <cell r="C47" t="str">
            <v>Centre de Formation et d'Education aux Métiers (CFEM)</v>
          </cell>
          <cell r="D47" t="str">
            <v>ETS LE NASSARA</v>
          </cell>
        </row>
        <row r="48">
          <cell r="A48" t="str">
            <v>CLA047</v>
          </cell>
          <cell r="C48" t="str">
            <v>Centre de Formation et d'Education aux Métiers (CFEM)</v>
          </cell>
          <cell r="D48" t="str">
            <v>ETS LE NASSARA</v>
          </cell>
        </row>
        <row r="49">
          <cell r="A49" t="str">
            <v>CLA048</v>
          </cell>
          <cell r="C49" t="str">
            <v>Centre de Formation et d'Education aux Métiers (CFEM)</v>
          </cell>
          <cell r="D49" t="str">
            <v>ETS LE NASSARA</v>
          </cell>
        </row>
        <row r="50">
          <cell r="A50" t="str">
            <v>CLA049</v>
          </cell>
          <cell r="C50" t="str">
            <v>CADHAC</v>
          </cell>
          <cell r="D50" t="str">
            <v>CHAMBRE D'AGRICULTURE, DES PÊCHES, DE L'ELEVAGE ET DES FORÊTS DU CAMEROUN (CAPEF)</v>
          </cell>
        </row>
        <row r="51">
          <cell r="A51" t="str">
            <v>CLA050</v>
          </cell>
          <cell r="C51" t="str">
            <v>CADHAC</v>
          </cell>
          <cell r="D51" t="str">
            <v>CHAMBRE D'AGRICULTURE, DES PÊCHES, DE L'ELEVAGE ET DES FORÊTS DU CAMEROUN (CAPEF)</v>
          </cell>
        </row>
        <row r="52">
          <cell r="A52" t="str">
            <v>CLA051</v>
          </cell>
          <cell r="C52" t="str">
            <v>CADHAC</v>
          </cell>
          <cell r="D52" t="str">
            <v>CHAMBRE D'AGRICULTURE, DES PÊCHES, DE L'ELEVAGE ET DES FORÊTS DU CAMEROUN (CAPEF)</v>
          </cell>
        </row>
        <row r="53">
          <cell r="A53" t="str">
            <v>CLA052</v>
          </cell>
          <cell r="C53" t="str">
            <v>CADHAC</v>
          </cell>
          <cell r="D53" t="str">
            <v>CHAMBRE D'AGRICULTURE, DES PÊCHES, DE L'ELEVAGE ET DES FORÊTS DU CAMEROUN (CAPEF)</v>
          </cell>
        </row>
        <row r="54">
          <cell r="A54" t="str">
            <v>CLA053</v>
          </cell>
          <cell r="C54" t="str">
            <v>CADHAC</v>
          </cell>
          <cell r="D54" t="str">
            <v>CHAMBRE D'AGRICULTURE, DES PÊCHES, DE L'ELEVAGE ET DES FORÊTS DU CAMEROUN (CAPEF)</v>
          </cell>
        </row>
        <row r="55">
          <cell r="A55" t="str">
            <v>CLA054</v>
          </cell>
          <cell r="C55" t="str">
            <v>CADHAC</v>
          </cell>
          <cell r="D55" t="str">
            <v>GIC LE JARDINIER MPF "JEUNESSE ACTIVE"</v>
          </cell>
        </row>
        <row r="56">
          <cell r="A56" t="str">
            <v>CLA055</v>
          </cell>
          <cell r="C56" t="str">
            <v>CADHAC</v>
          </cell>
          <cell r="D56" t="str">
            <v>FEMMES DYNAMIQUES AU SERVICE DU DEVELOPPEMENT DURABLE ET DE L'INTEGRATION SOCIALE (FEDDIS)</v>
          </cell>
        </row>
        <row r="57">
          <cell r="A57" t="str">
            <v>CLA056</v>
          </cell>
          <cell r="C57" t="str">
            <v>CADHAC</v>
          </cell>
          <cell r="D57" t="str">
            <v>COOPERATIVE DE PROMOTION D'APPUI AUX INITIATIVES DE DEVELOPPEMENT (CPAID - COOPCA)</v>
          </cell>
        </row>
        <row r="58">
          <cell r="A58" t="str">
            <v>CLA057</v>
          </cell>
          <cell r="C58" t="str">
            <v>Centre de Formation et d'Education aux Métiers (CFEM)</v>
          </cell>
          <cell r="D58" t="str">
            <v>IRISA</v>
          </cell>
        </row>
        <row r="59">
          <cell r="A59" t="str">
            <v>CLA058</v>
          </cell>
          <cell r="C59" t="str">
            <v>Centre de Formation et d'Education aux Métiers (CFEM)</v>
          </cell>
          <cell r="D59" t="str">
            <v>IRISA</v>
          </cell>
        </row>
        <row r="60">
          <cell r="A60" t="str">
            <v>CLA059</v>
          </cell>
          <cell r="C60" t="str">
            <v>Centre de Formation et d'Education aux Métiers (CFEM)</v>
          </cell>
          <cell r="D60" t="str">
            <v>IRISA</v>
          </cell>
        </row>
        <row r="61">
          <cell r="A61" t="str">
            <v>CLA060</v>
          </cell>
          <cell r="C61" t="str">
            <v>Centre de Formation et d'Education aux Métiers (CFEM)</v>
          </cell>
          <cell r="D61" t="str">
            <v>IRISA</v>
          </cell>
        </row>
        <row r="62">
          <cell r="A62" t="str">
            <v>CLA061</v>
          </cell>
          <cell r="C62" t="str">
            <v>Centre de Formation et d'Education aux Métiers (CFEM)</v>
          </cell>
          <cell r="D62" t="str">
            <v>IRISA</v>
          </cell>
        </row>
        <row r="63">
          <cell r="A63" t="str">
            <v>CLA062</v>
          </cell>
          <cell r="C63" t="str">
            <v>Centre de Formation et d'Education aux Métiers (CFEM)</v>
          </cell>
          <cell r="D63" t="str">
            <v>IRISA</v>
          </cell>
        </row>
        <row r="64">
          <cell r="A64" t="str">
            <v>CLA063</v>
          </cell>
          <cell r="C64" t="str">
            <v>Centre de Formation et d'Education aux Métiers (CFEM)</v>
          </cell>
          <cell r="D64" t="str">
            <v>IRISA</v>
          </cell>
        </row>
        <row r="65">
          <cell r="A65" t="str">
            <v>CLA064</v>
          </cell>
          <cell r="C65" t="str">
            <v>Centre de Formation et d'Education aux Métiers (CFEM)</v>
          </cell>
          <cell r="D65" t="str">
            <v>IRISA</v>
          </cell>
        </row>
        <row r="66">
          <cell r="A66" t="str">
            <v>CLA065</v>
          </cell>
          <cell r="C66" t="str">
            <v>Centre de Formation et d'Education aux Métiers (CFEM)</v>
          </cell>
          <cell r="D66" t="str">
            <v>IRISA</v>
          </cell>
        </row>
        <row r="67">
          <cell r="A67" t="str">
            <v>CLA066</v>
          </cell>
          <cell r="C67" t="str">
            <v>Centre de Formation et d'Education aux Métiers (CFEM)</v>
          </cell>
          <cell r="D67" t="str">
            <v>IRISA</v>
          </cell>
        </row>
        <row r="68">
          <cell r="A68" t="str">
            <v>CLA067</v>
          </cell>
          <cell r="C68" t="str">
            <v>Centre de Formation et d'Education aux Métiers (CFEM)</v>
          </cell>
          <cell r="D68" t="str">
            <v>IRISA</v>
          </cell>
        </row>
        <row r="69">
          <cell r="A69" t="str">
            <v>CLA068</v>
          </cell>
          <cell r="C69" t="str">
            <v>Centre de Formation et d'Education aux Métiers (CFEM)</v>
          </cell>
          <cell r="D69" t="str">
            <v>IRISA</v>
          </cell>
        </row>
        <row r="70">
          <cell r="A70" t="str">
            <v>CLA069</v>
          </cell>
          <cell r="C70" t="str">
            <v>Centre de Formation et d'Education aux Métiers (CFEM)</v>
          </cell>
          <cell r="D70" t="str">
            <v>IRISA</v>
          </cell>
        </row>
        <row r="71">
          <cell r="A71" t="str">
            <v>CLA070</v>
          </cell>
          <cell r="C71" t="str">
            <v>Centre de Formation et d'Education aux Métiers (CFEM)</v>
          </cell>
          <cell r="D71" t="str">
            <v>IRISA</v>
          </cell>
        </row>
        <row r="72">
          <cell r="A72" t="str">
            <v>CLA071</v>
          </cell>
          <cell r="C72" t="str">
            <v>Centre de Formation et d'Education aux Métiers (CFEM)</v>
          </cell>
          <cell r="D72" t="str">
            <v>IRISA</v>
          </cell>
        </row>
        <row r="73">
          <cell r="A73" t="str">
            <v>CLA072</v>
          </cell>
          <cell r="C73" t="str">
            <v>Centre de Formation et d'Education aux Métiers (CFEM)</v>
          </cell>
          <cell r="D73" t="str">
            <v>IRISA</v>
          </cell>
        </row>
        <row r="74">
          <cell r="A74" t="str">
            <v>CLA073</v>
          </cell>
          <cell r="C74" t="str">
            <v>Centre de Formation et d'Education aux Métiers (CFEM)</v>
          </cell>
          <cell r="D74" t="str">
            <v>IRISA</v>
          </cell>
        </row>
        <row r="75">
          <cell r="A75" t="str">
            <v>CLA074</v>
          </cell>
          <cell r="C75" t="str">
            <v>Centre de Formation et d'Education aux Métiers (CFEM)</v>
          </cell>
          <cell r="D75" t="str">
            <v>IRISA</v>
          </cell>
        </row>
        <row r="76">
          <cell r="A76" t="str">
            <v>CLA075</v>
          </cell>
          <cell r="C76" t="str">
            <v>Centre de Formation et d'Education aux Métiers (CFEM)</v>
          </cell>
          <cell r="D76" t="str">
            <v>IRISA</v>
          </cell>
        </row>
        <row r="77">
          <cell r="A77" t="str">
            <v>CLA076</v>
          </cell>
          <cell r="C77" t="str">
            <v>Centre de Formation et d'Education aux Métiers (CFEM)</v>
          </cell>
          <cell r="D77" t="str">
            <v>IRISA</v>
          </cell>
        </row>
        <row r="78">
          <cell r="A78" t="str">
            <v>CLA077</v>
          </cell>
          <cell r="C78" t="str">
            <v>Centre de Formation et d'Education aux Métiers (CFEM)</v>
          </cell>
          <cell r="D78" t="str">
            <v>GLOBALMON CAMEROUN</v>
          </cell>
        </row>
        <row r="79">
          <cell r="A79" t="str">
            <v>CLA078</v>
          </cell>
          <cell r="C79" t="str">
            <v>Centre de Formation et d'Education aux Métiers (CFEM)</v>
          </cell>
          <cell r="D79" t="str">
            <v>GLOBALMON CAMEROUN</v>
          </cell>
        </row>
        <row r="80">
          <cell r="A80" t="str">
            <v>CLA079</v>
          </cell>
          <cell r="C80" t="str">
            <v>Centre de Formation et d'Education aux Métiers (CFEM)</v>
          </cell>
          <cell r="D80" t="str">
            <v>GLOBALMON CAMEROUN</v>
          </cell>
        </row>
        <row r="81">
          <cell r="A81" t="str">
            <v>CLA080</v>
          </cell>
          <cell r="C81" t="str">
            <v>Centre de Formation et d'Education aux Métiers (CFEM)</v>
          </cell>
          <cell r="D81" t="str">
            <v>ERENCAM</v>
          </cell>
        </row>
        <row r="82">
          <cell r="A82" t="str">
            <v>CLA081</v>
          </cell>
          <cell r="C82" t="str">
            <v>Centre de Formation et d'Education aux Métiers (CFEM)</v>
          </cell>
          <cell r="D82" t="str">
            <v>ERENCAM</v>
          </cell>
        </row>
        <row r="83">
          <cell r="A83" t="str">
            <v>CLA082</v>
          </cell>
          <cell r="C83" t="str">
            <v>Centre de Formation et d'Education aux Métiers (CFEM)</v>
          </cell>
          <cell r="D83" t="str">
            <v>ERENCAM</v>
          </cell>
        </row>
        <row r="84">
          <cell r="A84" t="str">
            <v>CLA083</v>
          </cell>
          <cell r="C84" t="str">
            <v>Centre de Formation et d'Education aux Métiers (CFEM)</v>
          </cell>
          <cell r="D84" t="str">
            <v>ERENCAM</v>
          </cell>
        </row>
        <row r="85">
          <cell r="A85" t="str">
            <v>CLA084</v>
          </cell>
          <cell r="C85" t="str">
            <v>Centre de Formation et d'Education aux Métiers (CFEM)</v>
          </cell>
          <cell r="D85" t="str">
            <v>SCOOP-CA CROPSEC</v>
          </cell>
        </row>
        <row r="86">
          <cell r="A86" t="str">
            <v>CLA085</v>
          </cell>
          <cell r="C86" t="str">
            <v>Centre de Formation et d'Education aux Métiers (CFEM)</v>
          </cell>
          <cell r="D86" t="str">
            <v>SCOOP-CA CROPSEC</v>
          </cell>
        </row>
        <row r="87">
          <cell r="A87" t="str">
            <v>CLA086</v>
          </cell>
          <cell r="C87" t="str">
            <v>Centre de Formation et d'Education aux Métiers (CFEM)</v>
          </cell>
          <cell r="D87" t="str">
            <v>SCOOP-CA CROPSEC</v>
          </cell>
        </row>
        <row r="88">
          <cell r="A88" t="str">
            <v>CLA087</v>
          </cell>
          <cell r="C88" t="str">
            <v>Centre de Formation et d'Education aux Métiers (CFEM)</v>
          </cell>
          <cell r="D88" t="str">
            <v>SCOOP-CA CROPSEC</v>
          </cell>
        </row>
        <row r="89">
          <cell r="A89" t="str">
            <v>CLA088</v>
          </cell>
          <cell r="C89" t="str">
            <v>Centre de Formation et d'Education aux Métiers (CFEM)</v>
          </cell>
          <cell r="D89" t="str">
            <v>SCOOPS DES AGRO-ELEVEURS DE L'EXTREME-NORD</v>
          </cell>
        </row>
        <row r="90">
          <cell r="A90" t="str">
            <v>CLA089</v>
          </cell>
          <cell r="C90" t="str">
            <v>Centre de Formation et d'Education aux Métiers (CFEM)</v>
          </cell>
          <cell r="D90" t="str">
            <v>SCOOPS DES AGRO-ELEVEURS DE L'EXTREME-NORD</v>
          </cell>
        </row>
        <row r="91">
          <cell r="A91" t="str">
            <v>CLA090</v>
          </cell>
          <cell r="C91" t="str">
            <v>Centre de Formation et d'Education aux Métiers (CFEM)</v>
          </cell>
          <cell r="D91" t="str">
            <v>SCOOPS DES AGRO-ELEVEURS DE L'EXTREME-NORD</v>
          </cell>
        </row>
        <row r="92">
          <cell r="A92" t="str">
            <v>CLA091</v>
          </cell>
          <cell r="C92" t="str">
            <v>Centre de Formation et d'Education aux Métiers (CFEM)</v>
          </cell>
          <cell r="D92" t="str">
            <v>SCOOPS DES AGRO-ELEVEURS DE L'EXTREME-NORD</v>
          </cell>
        </row>
        <row r="93">
          <cell r="A93" t="str">
            <v>CLA092</v>
          </cell>
          <cell r="C93" t="str">
            <v>CADHAC</v>
          </cell>
          <cell r="D93" t="str">
            <v>CHAMBRE D'AGRICULTURE, DES PÊCHES, DE L'ELEVAGE ET DES FORÊTS DU CAMEROUN (CAPEF)</v>
          </cell>
        </row>
        <row r="94">
          <cell r="A94" t="str">
            <v>CLA093</v>
          </cell>
          <cell r="C94" t="str">
            <v>CADHAC</v>
          </cell>
          <cell r="D94" t="str">
            <v>CHAMBRE D'AGRICULTURE, DES PÊCHES, DE L'ELEVAGE ET DES FORÊTS DU CAMEROUN (CAPEF)</v>
          </cell>
        </row>
        <row r="95">
          <cell r="A95" t="str">
            <v>CLA094</v>
          </cell>
          <cell r="C95" t="str">
            <v>CADHAC</v>
          </cell>
          <cell r="D95" t="str">
            <v>CHAMBRE D'AGRICULTURE, DES PÊCHES, DE L'ELEVAGE ET DES FORÊTS DU CAMEROUN (CAPEF)</v>
          </cell>
        </row>
        <row r="96">
          <cell r="A96" t="str">
            <v>CLA095</v>
          </cell>
          <cell r="C96" t="str">
            <v>CADHAC</v>
          </cell>
          <cell r="D96" t="str">
            <v>CHAMBRE D'AGRICULTURE, DES PÊCHES, DE L'ELEVAGE ET DES FORÊTS DU CAMEROUN (CAPEF)</v>
          </cell>
        </row>
        <row r="97">
          <cell r="A97" t="str">
            <v>CLA096</v>
          </cell>
          <cell r="C97" t="str">
            <v>CADHAC</v>
          </cell>
          <cell r="D97" t="str">
            <v>CHAMBRE D'AGRICULTURE, DES PÊCHES, DE L'ELEVAGE ET DES FORÊTS DU CAMEROUN (CAPEF)</v>
          </cell>
        </row>
        <row r="98">
          <cell r="A98" t="str">
            <v>CLA097</v>
          </cell>
          <cell r="C98" t="str">
            <v>CADHAC</v>
          </cell>
          <cell r="D98" t="str">
            <v>CHAMBRE D'AGRICULTURE, DES PÊCHES, DE L'ELEVAGE ET DES FORÊTS DU CAMEROUN (CAPEF)</v>
          </cell>
        </row>
        <row r="99">
          <cell r="A99" t="str">
            <v>CLA098</v>
          </cell>
          <cell r="C99" t="str">
            <v>CADHAC</v>
          </cell>
          <cell r="D99" t="str">
            <v>CHAMBRE D'AGRICULTURE, DES PÊCHES, DE L'ELEVAGE ET DES FORÊTS DU CAMEROUN (CAPEF)</v>
          </cell>
        </row>
        <row r="100">
          <cell r="A100" t="str">
            <v>CLA099</v>
          </cell>
          <cell r="C100" t="str">
            <v>CADHAC</v>
          </cell>
          <cell r="D100" t="str">
            <v>CHAMBRE D'AGRICULTURE, DES PÊCHES, DE L'ELEVAGE ET DES FORÊTS DU CAMEROUN (CAPEF)</v>
          </cell>
        </row>
        <row r="101">
          <cell r="A101" t="str">
            <v>CLA100</v>
          </cell>
          <cell r="C101" t="str">
            <v>CADHAC</v>
          </cell>
          <cell r="D101" t="str">
            <v>CHAMBRE D'AGRICULTURE, DES PÊCHES, DE L'ELEVAGE ET DES FORÊTS DU CAMEROUN (CAPEF)</v>
          </cell>
        </row>
        <row r="102">
          <cell r="A102" t="str">
            <v>CLA101</v>
          </cell>
          <cell r="C102" t="str">
            <v>CADHAC</v>
          </cell>
          <cell r="D102" t="str">
            <v>CHAMBRE D'AGRICULTURE, DES PÊCHES, DE L'ELEVAGE ET DES FORÊTS DU CAMEROUN (CAPEF)</v>
          </cell>
        </row>
        <row r="103">
          <cell r="A103" t="str">
            <v>CLA102</v>
          </cell>
          <cell r="C103" t="str">
            <v>CADHAC</v>
          </cell>
          <cell r="D103" t="str">
            <v>CHAMBRE D'AGRICULTURE, DES PÊCHES, DE L'ELEVAGE ET DES FORÊTS DU CAMEROUN (CAPEF)</v>
          </cell>
        </row>
        <row r="104">
          <cell r="A104" t="str">
            <v>CLA103</v>
          </cell>
          <cell r="C104" t="str">
            <v>CADHAC</v>
          </cell>
          <cell r="D104" t="str">
            <v>CHAMBRE D'AGRICULTURE, DES PÊCHES, DE L'ELEVAGE ET DES FORÊTS DU CAMEROUN (CAPEF)</v>
          </cell>
        </row>
        <row r="105">
          <cell r="A105" t="str">
            <v>CLA104</v>
          </cell>
          <cell r="C105" t="str">
            <v>CADHAC</v>
          </cell>
          <cell r="D105" t="str">
            <v>CHAMBRE D'AGRICULTURE, DES PÊCHES, DE L'ELEVAGE ET DES FORÊTS DU CAMEROUN (CAPEF)</v>
          </cell>
        </row>
        <row r="106">
          <cell r="A106" t="str">
            <v>CLA105</v>
          </cell>
          <cell r="C106" t="str">
            <v>CADHAC</v>
          </cell>
          <cell r="D106" t="str">
            <v>CHAMBRE D'AGRICULTURE, DES PÊCHES, DE L'ELEVAGE ET DES FORÊTS DU CAMEROUN (CAPEF)</v>
          </cell>
        </row>
        <row r="107">
          <cell r="A107" t="str">
            <v>CLA106</v>
          </cell>
          <cell r="C107" t="str">
            <v>CADHAC</v>
          </cell>
          <cell r="D107" t="str">
            <v>CHAMBRE D'AGRICULTURE, DES PÊCHES, DE L'ELEVAGE ET DES FORÊTS DU CAMEROUN (CAPEF)</v>
          </cell>
        </row>
        <row r="108">
          <cell r="A108" t="str">
            <v>CLA107</v>
          </cell>
          <cell r="C108" t="str">
            <v>Cabinet KEYS OF SERVICES</v>
          </cell>
          <cell r="D108" t="str">
            <v>COMITE DE PROGRES POUR L'AGRICULTURE ET L'ELEVAGE D'ENYENG (COPROGENY - COOPCA)</v>
          </cell>
        </row>
        <row r="109">
          <cell r="A109" t="str">
            <v>CLA108</v>
          </cell>
          <cell r="C109" t="str">
            <v>Cabinet KEYS OF SERVICES</v>
          </cell>
          <cell r="D109" t="str">
            <v>COMITE DE PROGRES POUR L'AGRICULTURE ET L'ELEVAGE D'ENYENG (COPROGENY - COOPCA)</v>
          </cell>
        </row>
        <row r="110">
          <cell r="A110" t="str">
            <v>CLA109</v>
          </cell>
          <cell r="C110" t="str">
            <v>Cabinet KEYS OF SERVICES</v>
          </cell>
          <cell r="D110" t="str">
            <v>COMITE DE PROGRES POUR L'AGRICULTURE ET L'ELEVAGE D'ENYENG (COPROGENY - COOPCA)</v>
          </cell>
        </row>
        <row r="111">
          <cell r="A111" t="str">
            <v>CLA110</v>
          </cell>
          <cell r="C111" t="str">
            <v>CFP WELL BEING EXPERTS</v>
          </cell>
          <cell r="D111" t="str">
            <v>CONFEDERATION CAMEROUNAISE DES PME ET METIERS DE LA MODE, TEXTILE-CONFECTION, CUIR, BAMBOU ET BIEN-ÊTRE (CCMTB)</v>
          </cell>
        </row>
        <row r="112">
          <cell r="A112" t="str">
            <v>CLA111</v>
          </cell>
          <cell r="C112" t="str">
            <v>CFP WELL BEING EXPERTS</v>
          </cell>
          <cell r="D112" t="str">
            <v>CONFEDERATION CAMEROUNAISE DES PME ET METIERS DE LA MODE, TEXTILE-CONFECTION, CUIR, BAMBOU ET BIEN-ÊTRE (CCMTB)</v>
          </cell>
        </row>
        <row r="113">
          <cell r="A113" t="str">
            <v>CLA112</v>
          </cell>
          <cell r="C113" t="str">
            <v>CFP WELL BEING EXPERTS</v>
          </cell>
          <cell r="D113" t="str">
            <v>CONFEDERATION CAMEROUNAISE DES PME ET METIERS DE LA MODE, TEXTILE-CONFECTION, CUIR, BAMBOU ET BIEN-ÊTRE (CCMTB)</v>
          </cell>
        </row>
        <row r="114">
          <cell r="A114" t="str">
            <v>CLA113</v>
          </cell>
          <cell r="C114" t="str">
            <v>CFP WELL BEING EXPERTS</v>
          </cell>
          <cell r="D114" t="str">
            <v>CONFEDERATION CAMEROUNAISE DES PME ET METIERS DE LA MODE, TEXTILE-CONFECTION, CUIR, BAMBOU ET BIEN-ÊTRE (CCMTB)</v>
          </cell>
        </row>
        <row r="115">
          <cell r="A115" t="str">
            <v>CLA114</v>
          </cell>
          <cell r="C115" t="str">
            <v>CFP WELL BEING EXPERTS</v>
          </cell>
          <cell r="D115" t="str">
            <v>CONFEDERATION CAMEROUNAISE DES PME ET METIERS DE LA MODE, TEXTILE-CONFECTION, CUIR, BAMBOU ET BIEN-ÊTRE (CCMTB)</v>
          </cell>
        </row>
        <row r="116">
          <cell r="A116" t="str">
            <v>CLA115</v>
          </cell>
          <cell r="C116" t="str">
            <v>CFP WELL BEING EXPERTS</v>
          </cell>
          <cell r="D116" t="str">
            <v>CONFEDERATION CAMEROUNAISE DES PME ET METIERS DE LA MODE, TEXTILE-CONFECTION, CUIR, BAMBOU ET BIEN-ÊTRE (CCMTB)</v>
          </cell>
        </row>
        <row r="117">
          <cell r="A117" t="str">
            <v>CLA116</v>
          </cell>
          <cell r="C117" t="str">
            <v>CFP WELL BEING EXPERTS</v>
          </cell>
          <cell r="D117" t="str">
            <v>CONFEDERATION CAMEROUNAISE DES PME ET METIERS DE LA MODE, TEXTILE-CONFECTION, CUIR, BAMBOU ET BIEN-ÊTRE (CCMTB)</v>
          </cell>
        </row>
        <row r="118">
          <cell r="A118" t="str">
            <v>CLA117</v>
          </cell>
          <cell r="C118" t="str">
            <v>CFP WELL BEING EXPERTS</v>
          </cell>
          <cell r="D118" t="str">
            <v>CONFEDERATION CAMEROUNAISE DES PME ET METIERS DE LA MODE, TEXTILE-CONFECTION, CUIR, BAMBOU ET BIEN-ÊTRE (CCMTB)</v>
          </cell>
        </row>
        <row r="119">
          <cell r="A119" t="str">
            <v>CLA118</v>
          </cell>
          <cell r="C119" t="str">
            <v>CFP WELL BEING EXPERTS</v>
          </cell>
          <cell r="D119" t="str">
            <v>CONFEDERATION CAMEROUNAISE DES PME ET METIERS DE LA MODE, TEXTILE-CONFECTION, CUIR, BAMBOU ET BIEN-ÊTRE (CCMTB)</v>
          </cell>
        </row>
        <row r="120">
          <cell r="A120" t="str">
            <v>CLA119</v>
          </cell>
          <cell r="C120" t="str">
            <v>CFP WELL BEING EXPERTS</v>
          </cell>
          <cell r="D120" t="str">
            <v>CONFEDERATION CAMEROUNAISE DES PME ET METIERS DE LA MODE, TEXTILE-CONFECTION, CUIR, BAMBOU ET BIEN-ÊTRE (CCMTB)</v>
          </cell>
        </row>
        <row r="121">
          <cell r="A121" t="str">
            <v>CLA120</v>
          </cell>
          <cell r="C121" t="str">
            <v>CFP WELL BEING EXPERTS</v>
          </cell>
          <cell r="D121" t="str">
            <v>CONFEDERATION CAMEROUNAISE DES PME ET METIERS DE LA MODE, TEXTILE-CONFECTION, CUIR, BAMBOU ET BIEN-ÊTRE (CCMTB)</v>
          </cell>
        </row>
        <row r="122">
          <cell r="A122" t="str">
            <v>CLA121</v>
          </cell>
          <cell r="C122" t="str">
            <v>CFP WELL BEING EXPERTS</v>
          </cell>
          <cell r="D122" t="str">
            <v>CONFEDERATION CAMEROUNAISE DES PME ET METIERS DE LA MODE, TEXTILE-CONFECTION, CUIR, BAMBOU ET BIEN-ÊTRE (CCMTB)</v>
          </cell>
        </row>
        <row r="123">
          <cell r="A123" t="str">
            <v>CLA122</v>
          </cell>
          <cell r="C123" t="str">
            <v>CFP WELL BEING EXPERTS</v>
          </cell>
          <cell r="D123" t="str">
            <v>CONFEDERATION CAMEROUNAISE DES PME ET METIERS DE LA MODE, TEXTILE-CONFECTION, CUIR, BAMBOU ET BIEN-ÊTRE (CCMTB)</v>
          </cell>
        </row>
        <row r="124">
          <cell r="A124" t="str">
            <v>CLA123</v>
          </cell>
          <cell r="C124" t="str">
            <v>CFP WELL BEING EXPERTS</v>
          </cell>
          <cell r="D124" t="str">
            <v>CONFEDERATION CAMEROUNAISE DES PME ET METIERS DE LA MODE, TEXTILE-CONFECTION, CUIR, BAMBOU ET BIEN-ÊTRE (CCMTB)</v>
          </cell>
        </row>
        <row r="125">
          <cell r="A125" t="str">
            <v>CLA124</v>
          </cell>
          <cell r="C125" t="str">
            <v>CFP WELL BEING EXPERTS</v>
          </cell>
          <cell r="D125" t="str">
            <v>CONFEDERATION CAMEROUNAISE DES PME ET METIERS DE LA MODE, TEXTILE-CONFECTION, CUIR, BAMBOU ET BIEN-ÊTRE (CCMTB)</v>
          </cell>
        </row>
        <row r="126">
          <cell r="A126" t="str">
            <v>CLA125</v>
          </cell>
          <cell r="C126" t="str">
            <v>CRA D'EBOLOWA</v>
          </cell>
          <cell r="D126" t="str">
            <v>ASSOCIATION FEMMES EN ACTION (AFEA)</v>
          </cell>
        </row>
        <row r="127">
          <cell r="A127" t="str">
            <v>CLA126</v>
          </cell>
          <cell r="C127" t="str">
            <v>CRA D'EBOLOWA</v>
          </cell>
          <cell r="D127" t="str">
            <v>ASSOCIATION "GROUPE DYNAMIQUE DU SUD" (GPS)</v>
          </cell>
        </row>
        <row r="128">
          <cell r="A128" t="str">
            <v>CLA127</v>
          </cell>
          <cell r="C128" t="str">
            <v>CRA D'EBOLOWA</v>
          </cell>
          <cell r="D128" t="str">
            <v>GIC DES PRODUCTEURS AGROPASTORAUX DE BITYLIB (EVANG-ZACK)</v>
          </cell>
        </row>
        <row r="129">
          <cell r="A129" t="str">
            <v>CLA128</v>
          </cell>
          <cell r="C129" t="str">
            <v>CRA D'EBOLOWA</v>
          </cell>
          <cell r="D129" t="str">
            <v>GIC DES FEMMES DYNAMIQUES DE BIYEYEM</v>
          </cell>
        </row>
        <row r="130">
          <cell r="A130" t="str">
            <v>CLA129</v>
          </cell>
          <cell r="C130" t="str">
            <v>CRA D'EBOLOWA</v>
          </cell>
          <cell r="D130" t="str">
            <v>GIC TAC</v>
          </cell>
        </row>
        <row r="131">
          <cell r="A131" t="str">
            <v>CLA130</v>
          </cell>
          <cell r="C131" t="str">
            <v>CRA D'EBOLOWA</v>
          </cell>
          <cell r="D131" t="str">
            <v>GROUPE DES PRODUCTEURS ET ELEVEURS DU SUD (GPES)</v>
          </cell>
        </row>
        <row r="132">
          <cell r="A132" t="str">
            <v>CLA131</v>
          </cell>
          <cell r="C132" t="str">
            <v>FLAG</v>
          </cell>
          <cell r="D132" t="str">
            <v>GROUPEMENT DES ACTEURS DU SECTEUR FORESTIER DU CAMEROUN (GASFC )</v>
          </cell>
        </row>
        <row r="133">
          <cell r="A133" t="str">
            <v>CLA132</v>
          </cell>
          <cell r="C133" t="str">
            <v>FLAG</v>
          </cell>
          <cell r="D133" t="str">
            <v>GROUPEMENT DES ACTEURS DU SECTEUR FORESTIER DU CAMEROUN (GASFC )</v>
          </cell>
        </row>
        <row r="134">
          <cell r="A134" t="str">
            <v>CLA133</v>
          </cell>
          <cell r="C134" t="str">
            <v>FLAG</v>
          </cell>
          <cell r="D134" t="str">
            <v>GROUPEMENT DES ACTEURS DU SECTEUR FORESTIER DU CAMEROUN (GASFC )</v>
          </cell>
        </row>
        <row r="135">
          <cell r="A135" t="str">
            <v>CLA134</v>
          </cell>
          <cell r="C135" t="str">
            <v>FLAG</v>
          </cell>
          <cell r="D135" t="str">
            <v>GROUPEMENT DES ACTEURS DU SECTEUR FORESTIER DU CAMEROUN (GASFC )</v>
          </cell>
        </row>
        <row r="136">
          <cell r="A136" t="str">
            <v>CLA135</v>
          </cell>
          <cell r="C136" t="str">
            <v>FLAG</v>
          </cell>
          <cell r="D136" t="str">
            <v>GROUPEMENT DES ACTEURS DU SECTEUR FORESTIER DU CAMEROUN (GASFC )</v>
          </cell>
        </row>
        <row r="137">
          <cell r="A137" t="str">
            <v>CLA136</v>
          </cell>
          <cell r="C137" t="str">
            <v>FLAG</v>
          </cell>
          <cell r="D137" t="str">
            <v>GROUPEMENT DES ACTEURS DU SECTEUR FORESTIER DU CAMEROUN (GASFC )</v>
          </cell>
        </row>
        <row r="138">
          <cell r="A138" t="str">
            <v>CLA137</v>
          </cell>
          <cell r="C138" t="str">
            <v>NAT TECHNOLOGIES</v>
          </cell>
          <cell r="D138" t="str">
            <v>ASSOCIATION DES ENTREPRENEURS INGENIEUX D'AFRIQUE (ASENIA)</v>
          </cell>
        </row>
        <row r="139">
          <cell r="A139" t="str">
            <v>CLA138</v>
          </cell>
          <cell r="C139" t="str">
            <v>NAT TECHNOLOGIES</v>
          </cell>
          <cell r="D139" t="str">
            <v>ASSOCIATION DES ENTREPRENEURS INGENIEUX D'AFRIQUE (ASENIA)</v>
          </cell>
        </row>
        <row r="140">
          <cell r="A140" t="str">
            <v>CLA139</v>
          </cell>
          <cell r="C140" t="str">
            <v>PROFALCAM</v>
          </cell>
          <cell r="D140" t="str">
            <v>PLATEFORME NATIONALE DES ORGANISATIONS PROFESSIONNELLES AGRO-SYLVO-PASTORALES ET HALIEUTIQUES DU CAMEROUN (PLANOPAC)</v>
          </cell>
        </row>
        <row r="141">
          <cell r="A141" t="str">
            <v>CLA140</v>
          </cell>
          <cell r="C141" t="str">
            <v>PROFALCAM</v>
          </cell>
          <cell r="D141" t="str">
            <v>PLATEFORME NATIONALE DES ORGANISATIONS PROFESSIONNELLES AGRO-SYLVO-PASTORALES ET HALIEUTIQUES DU CAMEROUN (PLANOPAC)</v>
          </cell>
        </row>
        <row r="142">
          <cell r="A142" t="str">
            <v>CLA141</v>
          </cell>
          <cell r="C142" t="str">
            <v>PROFALCAM</v>
          </cell>
          <cell r="D142" t="str">
            <v>PLATEFORME NATIONALE DES ORGANISATIONS PROFESSIONNELLES AGRO-SYLVO-PASTORALES ET HALIEUTIQUES DU CAMEROUN (PLANOPAC)</v>
          </cell>
        </row>
        <row r="143">
          <cell r="A143" t="str">
            <v>CLA142</v>
          </cell>
          <cell r="C143" t="str">
            <v>PROFALCAM</v>
          </cell>
          <cell r="D143" t="str">
            <v>PLATEFORME NATIONALE DES ORGANISATIONS PROFESSIONNELLES AGRO-SYLVO-PASTORALES ET HALIEUTIQUES DU CAMEROUN (PLANOPAC)</v>
          </cell>
        </row>
        <row r="144">
          <cell r="A144" t="str">
            <v>CLA143</v>
          </cell>
          <cell r="C144" t="str">
            <v>PROFALCAM</v>
          </cell>
          <cell r="D144" t="str">
            <v>PLATEFORME NATIONALE DES ORGANISATIONS PROFESSIONNELLES AGRO-SYLVO-PASTORALES ET HALIEUTIQUES DU CAMEROUN (PLANOPAC)</v>
          </cell>
        </row>
        <row r="145">
          <cell r="A145" t="str">
            <v>CLA144</v>
          </cell>
          <cell r="C145" t="str">
            <v>PROFALCAM</v>
          </cell>
          <cell r="D145" t="str">
            <v>PLATEFORME NATIONALE DES ORGANISATIONS PROFESSIONNELLES AGRO-SYLVO-PASTORALES ET HALIEUTIQUES DU CAMEROUN (PLANOPAC)</v>
          </cell>
        </row>
        <row r="146">
          <cell r="A146" t="str">
            <v>CLA145</v>
          </cell>
          <cell r="C146" t="str">
            <v>PROFALCAM</v>
          </cell>
          <cell r="D146" t="str">
            <v>PLATEFORME NATIONALE DES ORGANISATIONS PROFESSIONNELLES AGRO-SYLVO-PASTORALES ET HALIEUTIQUES DU CAMEROUN (PLANOPAC)</v>
          </cell>
        </row>
        <row r="147">
          <cell r="A147" t="str">
            <v>CLA146</v>
          </cell>
          <cell r="C147" t="str">
            <v>PROFALCAM</v>
          </cell>
          <cell r="D147" t="str">
            <v>PLATEFORME NATIONALE DES ORGANISATIONS PROFESSIONNELLES AGRO-SYLVO-PASTORALES ET HALIEUTIQUES DU CAMEROUN (PLANOPAC)</v>
          </cell>
        </row>
        <row r="148">
          <cell r="A148" t="str">
            <v>CLA147</v>
          </cell>
          <cell r="C148" t="str">
            <v>PROFALCAM</v>
          </cell>
          <cell r="D148" t="str">
            <v>PLATEFORME NATIONALE DES ORGANISATIONS PROFESSIONNELLES AGRO-SYLVO-PASTORALES ET HALIEUTIQUES DU CAMEROUN (PLANOPAC)</v>
          </cell>
        </row>
        <row r="149">
          <cell r="A149" t="str">
            <v>CLA148</v>
          </cell>
          <cell r="C149" t="str">
            <v>PROFALCAM</v>
          </cell>
          <cell r="D149" t="str">
            <v>PLATEFORME NATIONALE DES ORGANISATIONS PROFESSIONNELLES AGRO-SYLVO-PASTORALES ET HALIEUTIQUES DU CAMEROUN (PLANOPAC)</v>
          </cell>
        </row>
        <row r="150">
          <cell r="A150" t="str">
            <v>CLA149</v>
          </cell>
          <cell r="C150" t="str">
            <v>PROFALCAM</v>
          </cell>
          <cell r="D150" t="str">
            <v>PLATEFORME INTER PROFESSIONNELLE DE LA CHAÎNE DE VALEUR MANIOC (PIP-CV-MANIOC)</v>
          </cell>
        </row>
        <row r="151">
          <cell r="A151" t="str">
            <v>CLA150</v>
          </cell>
          <cell r="C151" t="str">
            <v>PROFALCAM</v>
          </cell>
          <cell r="D151" t="str">
            <v>PLATEFORME INTER PROFESSIONNELLE DE LA CHAÎNE DE VALEUR MANIOC (PIP-CV-MANIOC)</v>
          </cell>
        </row>
        <row r="152">
          <cell r="A152" t="str">
            <v>CLA151</v>
          </cell>
          <cell r="C152" t="str">
            <v>PROFALCAM</v>
          </cell>
          <cell r="D152" t="str">
            <v>PLATEFORME INTER PROFESSIONNELLE DE LA CHAÎNE DE VALEUR MANIOC (PIP-CV-MANIOC)</v>
          </cell>
        </row>
        <row r="153">
          <cell r="A153" t="str">
            <v>CLA152</v>
          </cell>
          <cell r="C153" t="str">
            <v>PROFALCAM</v>
          </cell>
          <cell r="D153" t="str">
            <v>PLATEFORME INTER PROFESSIONNELLE DE LA CHAÎNE DE VALEUR MANIOC (PIP-CV-MANIOC)</v>
          </cell>
        </row>
        <row r="154">
          <cell r="A154" t="str">
            <v>CLA153</v>
          </cell>
          <cell r="C154" t="str">
            <v>PROFALCAM</v>
          </cell>
          <cell r="D154" t="str">
            <v>PLATEFORME INTER PROFESSIONNELLE DE LA CHAÎNE DE VALEUR MANIOC (PIP-CV-MANIOC)</v>
          </cell>
        </row>
        <row r="155">
          <cell r="A155" t="str">
            <v>CLA154</v>
          </cell>
          <cell r="C155" t="str">
            <v>PROFALCAM</v>
          </cell>
          <cell r="D155" t="str">
            <v>PLATEFORME INTER PROFESSIONNELLE DE LA CHAÎNE DE VALEUR MANIOC (PIP-CV-MANIOC)</v>
          </cell>
        </row>
        <row r="156">
          <cell r="A156" t="str">
            <v>CLA155</v>
          </cell>
          <cell r="C156" t="str">
            <v>PROFALCAM</v>
          </cell>
          <cell r="D156" t="str">
            <v>PLATEFORME INTER PROFESSIONNELLE DE LA CHAÎNE DE VALEUR MANIOC (PIP-CV-MANIOC)</v>
          </cell>
        </row>
        <row r="157">
          <cell r="A157" t="str">
            <v>CLA156</v>
          </cell>
          <cell r="C157" t="str">
            <v>PROFALCAM</v>
          </cell>
          <cell r="D157" t="str">
            <v>PLATEFORME INTER PROFESSIONNELLE DE LA CHAÎNE DE VALEUR MANIOC (PIP-CV-MANIOC)</v>
          </cell>
        </row>
        <row r="158">
          <cell r="A158" t="str">
            <v>CLA157</v>
          </cell>
          <cell r="C158" t="str">
            <v>PROFALCAM</v>
          </cell>
          <cell r="D158" t="str">
            <v>PLATEFORME INTER PROFESSIONNELLE DE LA CHAÎNE DE VALEUR MANIOC (PIP-CV-MANIOC)</v>
          </cell>
        </row>
        <row r="159">
          <cell r="A159" t="str">
            <v>CLA158</v>
          </cell>
          <cell r="C159" t="str">
            <v>PROFALCAM</v>
          </cell>
          <cell r="D159" t="str">
            <v>SCOOP - CA LE MEMENTO DE L'AGRICULTURE DU CAMEROUN</v>
          </cell>
        </row>
        <row r="160">
          <cell r="A160" t="str">
            <v>CLA159</v>
          </cell>
          <cell r="C160" t="str">
            <v>UPECA</v>
          </cell>
          <cell r="D160" t="str">
            <v>LYKOKO FARMERS FIELD SCHOOL COOPERATIVE (LYKOFFSCOOP)</v>
          </cell>
        </row>
        <row r="161">
          <cell r="A161" t="str">
            <v>CLA160</v>
          </cell>
          <cell r="C161" t="str">
            <v>UPECA</v>
          </cell>
          <cell r="D161" t="str">
            <v>LYKOKO FARMERS FIELD SCHOOL COOPERATIVE (LYKOFFSCOOP)</v>
          </cell>
        </row>
        <row r="162">
          <cell r="A162" t="str">
            <v>CLA161</v>
          </cell>
          <cell r="C162" t="str">
            <v>UPECA</v>
          </cell>
          <cell r="D162" t="str">
            <v>MASONE IKATA FARMERS COOPERATIVE "MAICAFCOOP"</v>
          </cell>
        </row>
        <row r="163">
          <cell r="A163" t="str">
            <v>CLA162</v>
          </cell>
          <cell r="C163" t="str">
            <v>UPECA</v>
          </cell>
          <cell r="D163" t="str">
            <v>MASONE IKATA FARMERS COOPERATIVE "MAICAFCOOP"</v>
          </cell>
        </row>
        <row r="164">
          <cell r="A164" t="str">
            <v>CLA163</v>
          </cell>
          <cell r="C164" t="str">
            <v>UPECA</v>
          </cell>
          <cell r="D164" t="str">
            <v>ALPHA SELF RELIANCE AGRICULTURAL COOPERATIVE SOCIETY (ASRACOOP-BOD)</v>
          </cell>
        </row>
        <row r="165">
          <cell r="A165" t="str">
            <v>CLA164</v>
          </cell>
          <cell r="C165" t="str">
            <v>UPECA</v>
          </cell>
          <cell r="D165" t="str">
            <v>ALPHA SELF RELIANCE AGRICULTURAL COOPERATIVE SOCIETY (ASRACOOP-BOD)</v>
          </cell>
        </row>
        <row r="166">
          <cell r="A166" t="str">
            <v>CLA165</v>
          </cell>
          <cell r="C166" t="str">
            <v>UPECA</v>
          </cell>
          <cell r="D166" t="str">
            <v>MUNYENGE FARMERS COOPERATIVE SOCIETY</v>
          </cell>
        </row>
        <row r="167">
          <cell r="A167" t="str">
            <v>CLA166</v>
          </cell>
          <cell r="C167" t="str">
            <v>UPECA</v>
          </cell>
          <cell r="D167" t="str">
            <v>MUNYENGE FARMERS COOPERATIVE SOCIETY</v>
          </cell>
        </row>
        <row r="168">
          <cell r="A168" t="str">
            <v>CLA167</v>
          </cell>
          <cell r="C168" t="str">
            <v>UPECA</v>
          </cell>
          <cell r="D168" t="str">
            <v>MUNYENGE FARMERS COOPERATIVE SOCIETY</v>
          </cell>
        </row>
        <row r="169">
          <cell r="A169" t="str">
            <v>CLA168</v>
          </cell>
          <cell r="C169" t="str">
            <v>UPECA</v>
          </cell>
          <cell r="D169" t="str">
            <v>MUNYENGE FARMERS COOPERATIVE SOCIETY</v>
          </cell>
        </row>
        <row r="170">
          <cell r="A170" t="str">
            <v>CLA169</v>
          </cell>
          <cell r="C170" t="str">
            <v>UPECA</v>
          </cell>
          <cell r="D170" t="str">
            <v>MENTI FAMILY MEETING "MENTIFAM GIC"</v>
          </cell>
        </row>
        <row r="171">
          <cell r="A171" t="str">
            <v>CLA170</v>
          </cell>
          <cell r="C171" t="str">
            <v>UPECA</v>
          </cell>
          <cell r="D171" t="str">
            <v>PALMOIL PRODUCERS SIMPLIFIED COOPERATIVE SOCIETY</v>
          </cell>
        </row>
        <row r="172">
          <cell r="A172" t="str">
            <v>CLA171</v>
          </cell>
          <cell r="C172" t="str">
            <v>UPECA</v>
          </cell>
          <cell r="D172" t="str">
            <v>MUYUKA CENTRAL FARMERS COOPERATIVE SOCIETY "MUCEFCOOP BOD"</v>
          </cell>
        </row>
        <row r="173">
          <cell r="A173" t="str">
            <v>CLA172</v>
          </cell>
          <cell r="C173" t="str">
            <v>UPECA</v>
          </cell>
          <cell r="D173" t="str">
            <v>MUYUKA CENTRAL FARMERS COOPERATIVE SOCIETY "MUCEFCOOP BOD"</v>
          </cell>
        </row>
        <row r="174">
          <cell r="A174" t="str">
            <v>CLA173</v>
          </cell>
          <cell r="C174" t="str">
            <v>UPECA</v>
          </cell>
          <cell r="D174" t="str">
            <v>MUYUKA CENTRAL FARMERS COOPERATIVE SOCIETY "MUCEFCOOP BOD"</v>
          </cell>
        </row>
        <row r="175">
          <cell r="A175" t="str">
            <v>CLA174</v>
          </cell>
          <cell r="C175" t="str">
            <v>UPECA</v>
          </cell>
          <cell r="D175" t="str">
            <v>EDEN YOUNG FARMERS (EYF)</v>
          </cell>
        </row>
        <row r="176">
          <cell r="A176" t="str">
            <v>CLA175</v>
          </cell>
          <cell r="C176" t="str">
            <v>PROFALCAM</v>
          </cell>
          <cell r="D176" t="str">
            <v>PLATEFORME INTER PROFESSIONNELLE DE LA CHAÎNE DE VALEUR MANIOC (PIP-CV-MANIOC)</v>
          </cell>
        </row>
        <row r="177">
          <cell r="A177" t="str">
            <v>CLA176</v>
          </cell>
          <cell r="C177" t="str">
            <v>AQUACULTURE STATION AND TRAINING CENTER, BAROMBI-KANG, KUMBA (SA KUMBA)</v>
          </cell>
          <cell r="D177" t="str">
            <v>ELENA NGO</v>
          </cell>
        </row>
        <row r="178">
          <cell r="A178" t="str">
            <v>CLA177</v>
          </cell>
          <cell r="C178" t="str">
            <v>AQUACULTURE STATION AND TRAINING CENTER, BAROMBI-KANG, KUMBA (SA KUMBA)</v>
          </cell>
          <cell r="D178" t="str">
            <v>ELENA NGO</v>
          </cell>
        </row>
        <row r="179">
          <cell r="A179" t="str">
            <v>CLA178</v>
          </cell>
          <cell r="C179" t="str">
            <v>AQUACULTURE STATION AND TRAINING CENTER, BAROMBI-KANG, KUMBA (SA KUMBA)</v>
          </cell>
          <cell r="D179" t="str">
            <v>NPUNDU COOPERATIVE PRODUCE MARKETING SOCIETY (CPMS COOP) LTD</v>
          </cell>
        </row>
        <row r="180">
          <cell r="A180" t="str">
            <v>CLA179</v>
          </cell>
          <cell r="C180" t="str">
            <v>AQUACULTURE STATION AND TRAINING CENTER, BAROMBI-KANG, KUMBA (SA KUMBA)</v>
          </cell>
          <cell r="D180" t="str">
            <v>NPUNDU COOPERATIVE PRODUCE MARKETING SOCIETY (CPMS COOP) LTD</v>
          </cell>
        </row>
        <row r="181">
          <cell r="A181" t="str">
            <v>CLA180</v>
          </cell>
          <cell r="C181" t="str">
            <v>AQUACULTURE STATION AND TRAINING CENTER, BAROMBI-KANG, KUMBA (SA KUMBA)</v>
          </cell>
          <cell r="D181" t="str">
            <v>HAPPY FARMERS CIG</v>
          </cell>
        </row>
        <row r="182">
          <cell r="A182" t="str">
            <v>CLA181</v>
          </cell>
          <cell r="C182" t="str">
            <v>CFP BMB NEW AFRICA</v>
          </cell>
          <cell r="D182" t="str">
            <v>GROUPEMENT YAD CONSTRUCTION ; DELTA CONSTRUCTION ET FEDIVED</v>
          </cell>
        </row>
        <row r="183">
          <cell r="A183" t="str">
            <v>CLA182</v>
          </cell>
          <cell r="C183" t="str">
            <v>UPECA</v>
          </cell>
          <cell r="D183" t="str">
            <v>BAH-ESECK COMMON INITIATIVE GROUP (BCIG)</v>
          </cell>
        </row>
        <row r="184">
          <cell r="A184" t="str">
            <v>CLA183</v>
          </cell>
          <cell r="C184" t="str">
            <v>UPECA</v>
          </cell>
          <cell r="D184" t="str">
            <v>EKONA FARMERS COOPERATIVE SOCIETY (EKONAFCOOP-BOD)</v>
          </cell>
        </row>
        <row r="185">
          <cell r="A185" t="str">
            <v>CLA184</v>
          </cell>
          <cell r="C185" t="str">
            <v>UPECA</v>
          </cell>
          <cell r="D185" t="str">
            <v>EKONA FARMERS COOPERATIVE SOCIETY (EKONAFCOOP-BOD)</v>
          </cell>
        </row>
        <row r="186">
          <cell r="A186" t="str">
            <v>CLA185</v>
          </cell>
          <cell r="C186" t="str">
            <v>UPECA</v>
          </cell>
          <cell r="D186" t="str">
            <v>EKONA FARMERS COOPERATIVE SOCIETY (EKONAFCOOP-BOD)</v>
          </cell>
        </row>
        <row r="187">
          <cell r="A187" t="str">
            <v>CLA186</v>
          </cell>
          <cell r="C187" t="str">
            <v>IFPECIS-CAM</v>
          </cell>
          <cell r="D187" t="str">
            <v>SCOOP-CA ONGOLA</v>
          </cell>
        </row>
        <row r="188">
          <cell r="A188" t="str">
            <v>CLA187</v>
          </cell>
          <cell r="C188" t="str">
            <v>IFPECIS-CAM</v>
          </cell>
          <cell r="D188" t="str">
            <v>SCOOP-CA ONGOLA</v>
          </cell>
        </row>
        <row r="189">
          <cell r="A189" t="str">
            <v>CLA188</v>
          </cell>
          <cell r="C189" t="str">
            <v>CODEA-IAO</v>
          </cell>
          <cell r="D189" t="str">
            <v>GIC GREEN FARM</v>
          </cell>
        </row>
        <row r="190">
          <cell r="A190" t="str">
            <v>CLA189</v>
          </cell>
          <cell r="C190" t="str">
            <v>CODEA-IAO</v>
          </cell>
          <cell r="D190" t="str">
            <v>GIC GREEN FARM</v>
          </cell>
        </row>
        <row r="191">
          <cell r="A191" t="str">
            <v>CLA190</v>
          </cell>
          <cell r="C191" t="str">
            <v>ETS TAF SERVICES</v>
          </cell>
          <cell r="D191" t="str">
            <v>ORGANISATION DES METIERS INTER ARTISANAL (OMIA)</v>
          </cell>
        </row>
        <row r="192">
          <cell r="A192" t="str">
            <v>CLA191</v>
          </cell>
          <cell r="C192" t="str">
            <v>Mucotech Sarl</v>
          </cell>
          <cell r="D192" t="str">
            <v>OMEGA MINNING</v>
          </cell>
        </row>
        <row r="193">
          <cell r="A193" t="str">
            <v>CLA192</v>
          </cell>
          <cell r="C193" t="str">
            <v>CODEA-IAO</v>
          </cell>
          <cell r="D193" t="str">
            <v>GPIM</v>
          </cell>
        </row>
        <row r="194">
          <cell r="A194" t="str">
            <v>CLA193</v>
          </cell>
          <cell r="C194" t="str">
            <v>CODEA-IAO</v>
          </cell>
          <cell r="D194" t="str">
            <v>GPIM</v>
          </cell>
        </row>
        <row r="195">
          <cell r="A195" t="str">
            <v>CLA194</v>
          </cell>
          <cell r="C195" t="str">
            <v>CODEA-IAO</v>
          </cell>
          <cell r="D195" t="str">
            <v>GROUPEMENT DES AGRICULTEURS DE SON BOUT</v>
          </cell>
        </row>
        <row r="196">
          <cell r="A196" t="str">
            <v>CLA195</v>
          </cell>
          <cell r="C196" t="str">
            <v>CODEA-IAO</v>
          </cell>
          <cell r="D196" t="str">
            <v>GROUPEMENT DES AGRICULTEURS DE SON BOUT</v>
          </cell>
        </row>
        <row r="197">
          <cell r="A197" t="str">
            <v>CLA196</v>
          </cell>
          <cell r="C197" t="str">
            <v>CODEA-IAO</v>
          </cell>
          <cell r="D197" t="str">
            <v>GIC RAC</v>
          </cell>
        </row>
        <row r="198">
          <cell r="A198" t="str">
            <v>CLA197</v>
          </cell>
          <cell r="C198" t="str">
            <v>CODEA-IAO</v>
          </cell>
          <cell r="D198" t="str">
            <v>GIC RAC</v>
          </cell>
        </row>
        <row r="199">
          <cell r="A199" t="str">
            <v>CLA198</v>
          </cell>
          <cell r="C199" t="str">
            <v>CODEA-IAO</v>
          </cell>
          <cell r="D199" t="str">
            <v>GIC RAC</v>
          </cell>
        </row>
        <row r="200">
          <cell r="A200" t="str">
            <v>CLA199</v>
          </cell>
          <cell r="C200" t="str">
            <v>CABINET VETERINAIRE MBIAKOP</v>
          </cell>
          <cell r="D200" t="str">
            <v>GIC FEMMES LEADERS</v>
          </cell>
        </row>
        <row r="201">
          <cell r="A201" t="str">
            <v>CLA200</v>
          </cell>
          <cell r="C201" t="str">
            <v>Centre de formation professionnelle bilingue polyvalent de Soa</v>
          </cell>
          <cell r="D201" t="str">
            <v>CFP BMB NEW AFRICA SARL</v>
          </cell>
        </row>
        <row r="202">
          <cell r="A202" t="str">
            <v>CLA201</v>
          </cell>
          <cell r="C202" t="str">
            <v>CODEA-IAO</v>
          </cell>
          <cell r="D202" t="str">
            <v>GIC POUR LA COMMERCIALISATION DES INTRANTS AGRICOLES DE BOT MAKAK "GIC MAISON DU PAYSAN"</v>
          </cell>
        </row>
        <row r="203">
          <cell r="A203" t="str">
            <v>CLA202</v>
          </cell>
          <cell r="C203" t="str">
            <v>CODEA-IAO</v>
          </cell>
          <cell r="D203" t="str">
            <v>GIC POUR LA COMMERCIALISATION DES INTRANTS AGRICOLES DE BOT MAKAK "GIC MAISON DU PAYSAN"</v>
          </cell>
        </row>
        <row r="204">
          <cell r="A204" t="str">
            <v>CLA203</v>
          </cell>
          <cell r="C204" t="str">
            <v>JPNIL (pour les autres)</v>
          </cell>
          <cell r="D204" t="str">
            <v>SYNDICAT NATIONAL DES PROMOTEURS DE SALONS DE COIFURE ET D'ESTETHIQUE DU CAMEROUN (SYNPCE)</v>
          </cell>
        </row>
        <row r="205">
          <cell r="A205" t="str">
            <v>CLA204</v>
          </cell>
          <cell r="C205" t="str">
            <v>CAMER INTERIM &amp; RH SARL</v>
          </cell>
          <cell r="D205" t="str">
            <v>ASSOCIATION DES ENTREPRISES DES ZONES INDUSTRIELLES MAGZI DE DOUALA-EZIMAD</v>
          </cell>
        </row>
        <row r="206">
          <cell r="A206" t="str">
            <v>CLA205</v>
          </cell>
          <cell r="C206" t="str">
            <v>CAMER INTERIM &amp; RH SARL</v>
          </cell>
          <cell r="D206" t="str">
            <v>ASSOCIATION DES ENTREPRISES DES ZONES INDUSTRIELLES MAGZI DE DOUALA-EZIMAD</v>
          </cell>
        </row>
        <row r="207">
          <cell r="A207" t="str">
            <v>CLA206</v>
          </cell>
          <cell r="C207" t="str">
            <v>CAMER INTERIM &amp; RH SARL</v>
          </cell>
          <cell r="D207" t="str">
            <v>ASSOCIATION DES ENTREPRISES DES ZONES INDUSTRIELLES MAGZI DE DOUALA-EZIMAD</v>
          </cell>
        </row>
        <row r="208">
          <cell r="A208" t="str">
            <v>CLA207</v>
          </cell>
          <cell r="C208" t="str">
            <v>CAMER INTERIM &amp; RH SARL</v>
          </cell>
          <cell r="D208" t="str">
            <v>ASSOCIATION DES ENTREPRISES DES ZONES INDUSTRIELLES MAGZI DE DOUALA-EZIMAD</v>
          </cell>
        </row>
        <row r="209">
          <cell r="A209" t="str">
            <v>CLA208</v>
          </cell>
          <cell r="C209" t="str">
            <v>CAMER INTERIM &amp; RH SARL</v>
          </cell>
          <cell r="D209" t="str">
            <v>ASSOCIATION DES ENTREPRISES DES ZONES INDUSTRIELLES MAGZI DE DOUALA-EZIMAD</v>
          </cell>
        </row>
        <row r="210">
          <cell r="A210" t="str">
            <v>CLA209</v>
          </cell>
          <cell r="C210" t="str">
            <v>CAMER INTERIM &amp; RH SARL</v>
          </cell>
          <cell r="D210" t="str">
            <v>ASSOCIATION DES ENTREPRISES DES ZONES INDUSTRIELLES MAGZI DE DOUALA-EZIMAD</v>
          </cell>
        </row>
        <row r="211">
          <cell r="A211" t="str">
            <v>CLA210</v>
          </cell>
          <cell r="C211" t="str">
            <v>CODEA-IAO</v>
          </cell>
          <cell r="D211" t="str">
            <v>RESEAU DES ENTREPRENEURS ET PROMOTEURS AGROPASTORAUX JEUNES (REPA-JEUNE)</v>
          </cell>
        </row>
        <row r="212">
          <cell r="A212" t="str">
            <v>CLA211</v>
          </cell>
          <cell r="C212" t="str">
            <v>ONG PAARDIC</v>
          </cell>
          <cell r="D212" t="str">
            <v>SOCIETE COOPERATIVE SIMPLIFIE AGRICOLE AGRIVILLAGE</v>
          </cell>
        </row>
        <row r="213">
          <cell r="A213" t="str">
            <v>CLA212</v>
          </cell>
          <cell r="C213" t="str">
            <v>ONG PAARDIC</v>
          </cell>
          <cell r="D213" t="str">
            <v>SOCIETE COOPERATIVE SIMPLIFIE AGRICOLE AGRIVILLAGE</v>
          </cell>
        </row>
        <row r="214">
          <cell r="A214" t="str">
            <v>CLA213</v>
          </cell>
          <cell r="C214" t="str">
            <v>ONG PAARDIC</v>
          </cell>
          <cell r="D214" t="str">
            <v>SOCIETE COOPERATIVE SIMPLIFIE AGRICOLE AGRIVILLAGE</v>
          </cell>
        </row>
        <row r="215">
          <cell r="A215" t="str">
            <v>CLA214</v>
          </cell>
          <cell r="C215" t="str">
            <v>ONG PAARDIC</v>
          </cell>
          <cell r="D215" t="str">
            <v>SOCIETE COOPERATIVE SIMPLIFIE AGRICOLE AGRIVILLAGE</v>
          </cell>
        </row>
        <row r="216">
          <cell r="A216" t="str">
            <v>CLA215</v>
          </cell>
          <cell r="C216" t="str">
            <v>ONG PAARDIC</v>
          </cell>
          <cell r="D216" t="str">
            <v>SOCIETE COOPERATIVE SIMPLIFIE AGRICOLE AGRIVILLAGE</v>
          </cell>
        </row>
        <row r="217">
          <cell r="A217" t="str">
            <v>CLA216</v>
          </cell>
          <cell r="C217" t="str">
            <v>ONG PAARDIC</v>
          </cell>
          <cell r="D217" t="str">
            <v>GIC DES PRODUCTEURS D'HUILE DE PALME DE MVANGA</v>
          </cell>
        </row>
        <row r="218">
          <cell r="A218" t="str">
            <v>CLA217</v>
          </cell>
          <cell r="C218" t="str">
            <v>PADIUM EXPRESS SERVICES</v>
          </cell>
          <cell r="D218" t="str">
            <v>SCOOPS MAALE DES PRODUCTEURS DE COTON DE GAZAWA</v>
          </cell>
        </row>
        <row r="219">
          <cell r="A219" t="str">
            <v>CLA218</v>
          </cell>
          <cell r="C219" t="str">
            <v>PADIUM EXPRESS SERVICES</v>
          </cell>
          <cell r="D219" t="str">
            <v>SCOOPS MAALE DES PRODUCTEURS DE COTON DE GAZAWA</v>
          </cell>
        </row>
        <row r="220">
          <cell r="A220" t="str">
            <v>CLA219</v>
          </cell>
          <cell r="C220" t="str">
            <v>PADIUM EXPRESS SERVICES</v>
          </cell>
          <cell r="D220" t="str">
            <v>SCOOPS MAALE DES PRODUCTEURS DE COTON DE GAZAWA</v>
          </cell>
        </row>
        <row r="221">
          <cell r="A221" t="str">
            <v>CLA220</v>
          </cell>
          <cell r="C221" t="str">
            <v>PADIUM EXPRESS SERVICES</v>
          </cell>
          <cell r="D221" t="str">
            <v>CENTRE D'APPUI POUR LE DEVELOPPEMENT LOCAL ET COMMUNAUTAIRE (CADELCO)</v>
          </cell>
        </row>
        <row r="222">
          <cell r="A222" t="str">
            <v>CLA221</v>
          </cell>
          <cell r="C222" t="str">
            <v>PADIUM EXPRESS SERVICES</v>
          </cell>
          <cell r="D222" t="str">
            <v>SOCITE COOPERATIVE KAMKAMA</v>
          </cell>
        </row>
        <row r="223">
          <cell r="A223" t="str">
            <v>CLA222</v>
          </cell>
          <cell r="C223" t="str">
            <v>PADIUM EXPRESS SERVICES</v>
          </cell>
          <cell r="D223" t="str">
            <v>GIC MIAPAL</v>
          </cell>
        </row>
        <row r="224">
          <cell r="A224" t="str">
            <v>CLA223</v>
          </cell>
          <cell r="C224" t="str">
            <v>PADIUM EXPRESS SERVICES</v>
          </cell>
          <cell r="D224" t="str">
            <v>KAOUTAL NARROUBE</v>
          </cell>
        </row>
        <row r="225">
          <cell r="A225" t="str">
            <v>CLA224</v>
          </cell>
          <cell r="C225" t="str">
            <v>PADIUM EXPRESS SERVICES</v>
          </cell>
          <cell r="D225" t="str">
            <v>KAOUTAL NARROUBE</v>
          </cell>
        </row>
        <row r="226">
          <cell r="A226" t="str">
            <v>CLA225</v>
          </cell>
          <cell r="C226" t="str">
            <v>PADIUM EXPRESS SERVICES</v>
          </cell>
          <cell r="D226" t="str">
            <v>NARRAL BODOUM</v>
          </cell>
        </row>
        <row r="227">
          <cell r="A227" t="str">
            <v>CLA226</v>
          </cell>
          <cell r="C227" t="str">
            <v>PADIUM EXPRESS SERVICES</v>
          </cell>
          <cell r="D227" t="str">
            <v>REWBE TIDDAL</v>
          </cell>
        </row>
        <row r="228">
          <cell r="A228" t="str">
            <v>CLA227</v>
          </cell>
          <cell r="C228" t="str">
            <v>FIRE ENGINEERING CONSULTINGS (FECS) Sarl</v>
          </cell>
          <cell r="D228" t="str">
            <v>ASSOCIATION DES ENTREPRISES DES ZONES INDUSTRIELLES MAGZI DE DOUALA-EZIMAD</v>
          </cell>
        </row>
        <row r="229">
          <cell r="A229" t="str">
            <v>CLA228</v>
          </cell>
          <cell r="C229" t="str">
            <v>FIRE ENGINEERING CONSULTINGS (FECS) Sarl</v>
          </cell>
          <cell r="D229" t="str">
            <v>ASSOCIATION DES ENTREPRISES DES ZONES INDUSTRIELLES MAGZI DE DOUALA-EZIMAD</v>
          </cell>
        </row>
        <row r="230">
          <cell r="A230" t="str">
            <v>CLA229</v>
          </cell>
          <cell r="C230" t="str">
            <v>FIRE ENGINEERING CONSULTINGS (FECS) Sarl</v>
          </cell>
          <cell r="D230" t="str">
            <v>ASSOCIATION DES ENTREPRISES DES ZONES INDUSTRIELLES MAGZI DE DOUALA-EZIMAD</v>
          </cell>
        </row>
        <row r="231">
          <cell r="A231" t="str">
            <v>CLA230</v>
          </cell>
          <cell r="C231" t="str">
            <v>FIRE ENGINEERING CONSULTINGS (FECS) Sarl</v>
          </cell>
          <cell r="D231" t="str">
            <v>ASSOCIATION DES ENTREPRISES DES ZONES INDUSTRIELLES MAGZI DE DOUALA-EZIMAD</v>
          </cell>
        </row>
        <row r="232">
          <cell r="A232" t="str">
            <v>CLA231</v>
          </cell>
          <cell r="C232" t="str">
            <v>FIRE ENGINEERING CONSULTINGS (FECS) Sarl</v>
          </cell>
          <cell r="D232" t="str">
            <v>ASSOCIATION DES ENTREPRISES DES ZONES INDUSTRIELLES MAGZI DE DOUALA-EZIMAD</v>
          </cell>
        </row>
        <row r="233">
          <cell r="A233" t="str">
            <v>CLA232</v>
          </cell>
          <cell r="C233" t="str">
            <v>FIRE ENGINEERING CONSULTINGS (FECS) Sarl</v>
          </cell>
          <cell r="D233" t="str">
            <v>ASSOCIATION DES ENTREPRISES DES ZONES INDUSTRIELLES MAGZI DE DOUALA-EZIMAD</v>
          </cell>
        </row>
        <row r="234">
          <cell r="A234" t="str">
            <v>CLA233</v>
          </cell>
          <cell r="C234" t="str">
            <v>FIRE ENGINEERING CONSULTINGS (FECS) Sarl</v>
          </cell>
          <cell r="D234" t="str">
            <v>ASSOCIATION DES ENTREPRISES DES ZONES INDUSTRIELLES MAGZI DE DOUALA-EZIMAD</v>
          </cell>
        </row>
        <row r="235">
          <cell r="A235" t="str">
            <v>CLA234</v>
          </cell>
          <cell r="C235" t="str">
            <v>FIRE ENGINEERING CONSULTINGS (FECS) Sarl</v>
          </cell>
          <cell r="D235" t="str">
            <v>ASSOCIATION DES ENTREPRISES DES ZONES INDUSTRIELLES MAGZI DE DOUALA-EZIMAD</v>
          </cell>
        </row>
        <row r="236">
          <cell r="A236" t="str">
            <v>CLA235</v>
          </cell>
          <cell r="C236" t="str">
            <v>FIRE ENGINEERING CONSULTINGS (FECS) Sarl</v>
          </cell>
          <cell r="D236" t="str">
            <v>ASSOCIATION DES ENTREPRISES DES ZONES INDUSTRIELLES MAGZI DE DOUALA-EZIMAD</v>
          </cell>
        </row>
        <row r="237">
          <cell r="A237" t="str">
            <v>CLA236</v>
          </cell>
          <cell r="C237" t="str">
            <v>FIRE ENGINEERING CONSULTINGS (FECS) Sarl</v>
          </cell>
          <cell r="D237" t="str">
            <v>ASSOCIATION DES ENTREPRISES DES ZONES INDUSTRIELLES MAGZI DE DOUALA-EZIMAD</v>
          </cell>
        </row>
        <row r="238">
          <cell r="A238" t="str">
            <v>CLA237</v>
          </cell>
          <cell r="C238" t="str">
            <v>FIRE ENGINEERING CONSULTINGS (FECS) Sarl</v>
          </cell>
          <cell r="D238" t="str">
            <v>ASSOCIATION DES ENTREPRISES DES ZONES INDUSTRIELLES MAGZI DE DOUALA-EZIMAD</v>
          </cell>
        </row>
        <row r="239">
          <cell r="A239" t="str">
            <v>CLA238</v>
          </cell>
          <cell r="C239" t="str">
            <v>FIRE ENGINEERING CONSULTINGS (FECS) Sarl</v>
          </cell>
          <cell r="D239" t="str">
            <v>ASSOCIATION DES ENTREPRISES DES ZONES INDUSTRIELLES MAGZI DE DOUALA-EZIMAD</v>
          </cell>
        </row>
        <row r="240">
          <cell r="A240" t="str">
            <v>CLA239</v>
          </cell>
          <cell r="C240" t="str">
            <v>FIRE ENGINEERING CONSULTINGS (FECS) Sarl</v>
          </cell>
          <cell r="D240" t="str">
            <v>ASSOCIATION DES ENTREPRISES DES ZONES INDUSTRIELLES MAGZI DE DOUALA-EZIMAD</v>
          </cell>
        </row>
        <row r="241">
          <cell r="A241" t="str">
            <v>CLA240</v>
          </cell>
          <cell r="C241" t="str">
            <v>FIRE ENGINEERING CONSULTINGS (FECS) Sarl</v>
          </cell>
          <cell r="D241" t="str">
            <v>ASSOCIATION DES ENTREPRISES DES ZONES INDUSTRIELLES MAGZI DE DOUALA-EZIMAD</v>
          </cell>
        </row>
        <row r="242">
          <cell r="A242" t="str">
            <v>CLA241</v>
          </cell>
          <cell r="C242" t="str">
            <v>FIRE ENGINEERING CONSULTINGS (FECS) Sarl</v>
          </cell>
          <cell r="D242" t="str">
            <v>ASSOCIATION DES ENTREPRISES DES ZONES INDUSTRIELLES MAGZI DE DOUALA-EZIMAD</v>
          </cell>
        </row>
        <row r="243">
          <cell r="A243" t="str">
            <v>CLA242</v>
          </cell>
          <cell r="C243" t="str">
            <v>FIRE ENGINEERING CONSULTINGS (FECS) Sarl</v>
          </cell>
          <cell r="D243" t="str">
            <v>ASSOCIATION DES ENTREPRISES DES ZONES INDUSTRIELLES MAGZI DE DOUALA-EZIMAD</v>
          </cell>
        </row>
        <row r="244">
          <cell r="A244" t="str">
            <v>CLA243</v>
          </cell>
          <cell r="C244" t="str">
            <v>VISION POSITIVE DU DEVELOPPEMENT (VIPOD) SARL</v>
          </cell>
          <cell r="D244" t="str">
            <v>ASSOCIATION DES ENTREPRISES DES ZONES INDUSTRIELLES MAGZI DE DOUALA-EZIMAD</v>
          </cell>
        </row>
        <row r="245">
          <cell r="A245" t="str">
            <v>CLA244</v>
          </cell>
          <cell r="C245" t="str">
            <v>VISION POSITIVE DU DEVELOPPEMENT (VIPOD) SARL</v>
          </cell>
          <cell r="D245" t="str">
            <v>ASSOCIATION DES ENTREPRISES DES ZONES INDUSTRIELLES MAGZI DE DOUALA-EZIMAD</v>
          </cell>
        </row>
        <row r="246">
          <cell r="A246" t="str">
            <v>CLA245</v>
          </cell>
          <cell r="C246" t="str">
            <v>VISION POSITIVE DU DEVELOPPEMENT (VIPOD) SARL</v>
          </cell>
          <cell r="D246" t="str">
            <v>ASSOCIATION DES ENTREPRISES DES ZONES INDUSTRIELLES MAGZI DE DOUALA-EZIMAD</v>
          </cell>
        </row>
        <row r="247">
          <cell r="A247" t="str">
            <v>CLA246</v>
          </cell>
          <cell r="C247" t="str">
            <v>VISION POSITIVE DU DEVELOPPEMENT (VIPOD) SARL</v>
          </cell>
          <cell r="D247" t="str">
            <v>ASSOCIATION DES ENTREPRISES DES ZONES INDUSTRIELLES MAGZI DE DOUALA-EZIMAD</v>
          </cell>
        </row>
        <row r="248">
          <cell r="A248" t="str">
            <v>CLA247</v>
          </cell>
          <cell r="C248" t="str">
            <v>VISION POSITIVE DU DEVELOPPEMENT (VIPOD) SARL</v>
          </cell>
          <cell r="D248" t="str">
            <v>ASSOCIATION DES ENTREPRISES DES ZONES INDUSTRIELLES MAGZI DE DOUALA-EZIMAD</v>
          </cell>
        </row>
        <row r="249">
          <cell r="A249" t="str">
            <v>CLA248</v>
          </cell>
          <cell r="C249" t="str">
            <v>PADIUM EXPRESS SERVICES</v>
          </cell>
          <cell r="D249" t="str">
            <v>SOCIETE COOPERATIVE SIMPLIFIEE LES FERMIERS D'AFRIQUE POUR L'EMBOUCHE BOVINE DE DJARENGOL</v>
          </cell>
        </row>
        <row r="250">
          <cell r="A250" t="str">
            <v>CLA249</v>
          </cell>
          <cell r="C250" t="str">
            <v>EXPERT FINANCE CONSULTING</v>
          </cell>
          <cell r="D250" t="str">
            <v>SYNDICAT NATIONAL DES PROMOTEURS DE SALONS DE COIFURE ET D'ESTETHIQUE DU CAMEROUN (SYNPCE)</v>
          </cell>
        </row>
        <row r="251">
          <cell r="A251" t="str">
            <v>CLA250</v>
          </cell>
          <cell r="C251" t="str">
            <v>LIDAF CONSULTING CORPORATION OF AFRICA SARL</v>
          </cell>
          <cell r="D251" t="str">
            <v>TEAM SOLUTION</v>
          </cell>
        </row>
        <row r="252">
          <cell r="A252" t="str">
            <v>CLA251</v>
          </cell>
          <cell r="C252" t="str">
            <v>LIDAF CONSULTING CORPORATION OF AFRICA SARL</v>
          </cell>
          <cell r="D252" t="str">
            <v>DIDDI SUGAR COMPANY</v>
          </cell>
        </row>
        <row r="253">
          <cell r="A253" t="str">
            <v>CLA252</v>
          </cell>
          <cell r="C253" t="str">
            <v>AGROFISH Consulting SARL</v>
          </cell>
          <cell r="D253" t="str">
            <v>GIC AGROPASTORAL DU CAMEROUN (AVANÇONS)</v>
          </cell>
        </row>
        <row r="254">
          <cell r="A254" t="str">
            <v>CLA253</v>
          </cell>
          <cell r="C254" t="str">
            <v>AGROFISH Consulting SARL</v>
          </cell>
          <cell r="D254" t="str">
            <v>GIC AGROPASTORAL DU CAMEROUN (AVANÇONS)</v>
          </cell>
        </row>
        <row r="255">
          <cell r="A255" t="str">
            <v>CLA254</v>
          </cell>
          <cell r="C255" t="str">
            <v>AGROFISH Consulting SARL</v>
          </cell>
          <cell r="D255" t="str">
            <v>GIC MEBOUGBANE DE BERTOUA</v>
          </cell>
        </row>
        <row r="256">
          <cell r="A256" t="str">
            <v>CLA255</v>
          </cell>
          <cell r="C256" t="str">
            <v>AGROFISH Consulting SARL</v>
          </cell>
          <cell r="D256" t="str">
            <v>GIC MEBOUGBANE DE BERTOUA</v>
          </cell>
        </row>
        <row r="257">
          <cell r="A257" t="str">
            <v>CLA256</v>
          </cell>
          <cell r="C257" t="str">
            <v>CODEA-IAO</v>
          </cell>
          <cell r="D257" t="str">
            <v>ASSOCIATION DES FEMMES BATTANTES (AFEBA)</v>
          </cell>
        </row>
        <row r="258">
          <cell r="A258" t="str">
            <v>CLA257</v>
          </cell>
          <cell r="C258" t="str">
            <v>CODEA-IAO</v>
          </cell>
          <cell r="D258" t="str">
            <v>ASSOCIATION DES FEMMES BATTANTES (AFEBA)</v>
          </cell>
        </row>
        <row r="259">
          <cell r="A259" t="str">
            <v>CLA258</v>
          </cell>
          <cell r="C259" t="str">
            <v>BUSINESS PERFORMANCE</v>
          </cell>
          <cell r="D259" t="str">
            <v>GROUPEMENT DES FEMMES D'AFFAIRES DU CAMEROUN (GFAC)</v>
          </cell>
        </row>
        <row r="260">
          <cell r="A260" t="str">
            <v>CLA259</v>
          </cell>
          <cell r="C260" t="str">
            <v>BUSINESS PERFORMANCE</v>
          </cell>
          <cell r="D260" t="str">
            <v>GROUPEMENT DES FEMMES D'AFFAIRES DU CAMEROUN (GFAC)</v>
          </cell>
        </row>
        <row r="261">
          <cell r="A261" t="str">
            <v>CLA260</v>
          </cell>
          <cell r="C261" t="str">
            <v>BUSINESS PERFORMANCE</v>
          </cell>
          <cell r="D261" t="str">
            <v>GROUPEMENT DES FEMMES D'AFFAIRES DU CAMEROUN (GFAC)</v>
          </cell>
        </row>
        <row r="262">
          <cell r="A262" t="str">
            <v>CLA261</v>
          </cell>
          <cell r="C262" t="str">
            <v>BUSINESS PERFORMANCE</v>
          </cell>
          <cell r="D262" t="str">
            <v>GROUPEMENT DES FEMMES D'AFFAIRES DU CAMEROUN (GFAC)</v>
          </cell>
        </row>
        <row r="263">
          <cell r="A263" t="str">
            <v>CLA262</v>
          </cell>
          <cell r="C263" t="str">
            <v>LIDAF CONSULTING CORPORATION OF AFRICA SARL</v>
          </cell>
          <cell r="D263" t="str">
            <v>SOCIETE CAMEROUNAISE DE TORREFACTION DU CAFE (SCTC)</v>
          </cell>
        </row>
        <row r="264">
          <cell r="A264" t="str">
            <v>CLA263</v>
          </cell>
          <cell r="C264" t="str">
            <v>ETS TAF SERVICES</v>
          </cell>
          <cell r="D264" t="str">
            <v>GROUPEMENT INTERPROFESSIONNEL DES ARTISANS (GIPA)</v>
          </cell>
        </row>
        <row r="265">
          <cell r="A265" t="str">
            <v>CLA264</v>
          </cell>
          <cell r="C265" t="str">
            <v>CFR DE BOUAM</v>
          </cell>
          <cell r="D265" t="str">
            <v>GIC KAFA</v>
          </cell>
        </row>
        <row r="266">
          <cell r="A266" t="str">
            <v>CLA265</v>
          </cell>
          <cell r="C266" t="str">
            <v>CFR DE BOUAM</v>
          </cell>
          <cell r="D266" t="str">
            <v>GIC KAFA</v>
          </cell>
        </row>
        <row r="267">
          <cell r="A267" t="str">
            <v>CLA266</v>
          </cell>
          <cell r="C267" t="str">
            <v>CFR DE BOUAM</v>
          </cell>
          <cell r="D267" t="str">
            <v>GIC KAFA</v>
          </cell>
        </row>
        <row r="268">
          <cell r="A268" t="str">
            <v>CLA267</v>
          </cell>
          <cell r="C268" t="str">
            <v>CFR DE BOUAM</v>
          </cell>
          <cell r="D268" t="str">
            <v>GIC KAFA</v>
          </cell>
        </row>
        <row r="269">
          <cell r="A269" t="str">
            <v>CLA268</v>
          </cell>
          <cell r="C269" t="str">
            <v>CFR DE BOUAM</v>
          </cell>
          <cell r="D269" t="str">
            <v>GIC KAFA</v>
          </cell>
        </row>
        <row r="270">
          <cell r="A270" t="str">
            <v>CLA269</v>
          </cell>
          <cell r="C270" t="str">
            <v>CFR DE BOUAM</v>
          </cell>
          <cell r="D270" t="str">
            <v>GIC KAFA</v>
          </cell>
        </row>
        <row r="271">
          <cell r="A271" t="str">
            <v>CLA270</v>
          </cell>
          <cell r="C271" t="str">
            <v>CFR DE BOUAM</v>
          </cell>
          <cell r="D271" t="str">
            <v>GIC KAFA</v>
          </cell>
        </row>
        <row r="272">
          <cell r="A272" t="str">
            <v>CLA271</v>
          </cell>
          <cell r="C272" t="str">
            <v>CFR DE BOUAM</v>
          </cell>
          <cell r="D272" t="str">
            <v>GIC KAFA</v>
          </cell>
        </row>
        <row r="273">
          <cell r="A273" t="str">
            <v>CLA272</v>
          </cell>
          <cell r="C273" t="str">
            <v>CFR DE BOUAM</v>
          </cell>
          <cell r="D273" t="str">
            <v>GIC / AEKEDIA DES AGRICULTEURS ET ELEVEURS DE TIGAZA</v>
          </cell>
        </row>
        <row r="274">
          <cell r="A274" t="str">
            <v>CLA273</v>
          </cell>
          <cell r="C274" t="str">
            <v>CFR DE BOUAM</v>
          </cell>
          <cell r="D274" t="str">
            <v>GIC DES AGRICULTEURS UNIS DE KANDA</v>
          </cell>
        </row>
        <row r="275">
          <cell r="A275" t="str">
            <v>CLA274</v>
          </cell>
          <cell r="C275" t="str">
            <v>CFR DE BOUAM</v>
          </cell>
          <cell r="D275" t="str">
            <v>GIC AKASSE</v>
          </cell>
        </row>
        <row r="276">
          <cell r="A276" t="str">
            <v>CLA275</v>
          </cell>
          <cell r="C276" t="str">
            <v>CFR DE BOUAM</v>
          </cell>
          <cell r="D276" t="str">
            <v>GIC BEKOBONG D'ANDOM</v>
          </cell>
        </row>
        <row r="277">
          <cell r="A277" t="str">
            <v>CLA276</v>
          </cell>
          <cell r="C277" t="str">
            <v>CFR DE BOUAM</v>
          </cell>
          <cell r="D277" t="str">
            <v>GIC BOO'GUOM</v>
          </cell>
        </row>
        <row r="278">
          <cell r="A278" t="str">
            <v>CLA277</v>
          </cell>
          <cell r="C278" t="str">
            <v>CFR DE BOUAM</v>
          </cell>
          <cell r="D278" t="str">
            <v>GIC EDING ETOUDI</v>
          </cell>
        </row>
        <row r="279">
          <cell r="A279" t="str">
            <v>CLA278</v>
          </cell>
          <cell r="C279" t="str">
            <v>CFR DE BOUAM</v>
          </cell>
          <cell r="D279" t="str">
            <v>GIC FIDELITE</v>
          </cell>
        </row>
        <row r="280">
          <cell r="A280" t="str">
            <v>CLA279</v>
          </cell>
          <cell r="C280" t="str">
            <v>CFR DE BOUAM</v>
          </cell>
          <cell r="D280" t="str">
            <v>GIC FUFICAS</v>
          </cell>
        </row>
        <row r="281">
          <cell r="A281" t="str">
            <v>CLA280</v>
          </cell>
          <cell r="C281" t="str">
            <v>CFR DE BOUAM</v>
          </cell>
          <cell r="D281" t="str">
            <v>GIC MOA BIEP</v>
          </cell>
        </row>
        <row r="282">
          <cell r="A282" t="str">
            <v>CLA281</v>
          </cell>
          <cell r="C282" t="str">
            <v>CFR DE BOUAM</v>
          </cell>
          <cell r="D282" t="str">
            <v>COOPCA PROPALMA</v>
          </cell>
        </row>
        <row r="283">
          <cell r="A283" t="str">
            <v>CLA282</v>
          </cell>
          <cell r="C283" t="str">
            <v>CFR DE BOUAM</v>
          </cell>
          <cell r="D283" t="str">
            <v>GIC SOUFO</v>
          </cell>
        </row>
        <row r="284">
          <cell r="A284" t="str">
            <v>CLA283</v>
          </cell>
          <cell r="C284" t="str">
            <v>CFR DE BOUAM</v>
          </cell>
          <cell r="D284" t="str">
            <v>ASSOCIATION TRANSPARENCE DE KANDA</v>
          </cell>
        </row>
        <row r="285">
          <cell r="A285" t="str">
            <v>CLA284</v>
          </cell>
          <cell r="C285" t="str">
            <v>CFR DE BOUAM</v>
          </cell>
          <cell r="D285" t="str">
            <v>GIC GNAFKA</v>
          </cell>
        </row>
        <row r="286">
          <cell r="A286" t="str">
            <v>CLA285</v>
          </cell>
          <cell r="C286" t="str">
            <v>HOPE FOR A BETTER FUTURE (H4BF)</v>
          </cell>
          <cell r="D286" t="str">
            <v>AWING UNITED FRIENDS FARMING SIMPLIFY COOPERATIVE LTD</v>
          </cell>
        </row>
        <row r="287">
          <cell r="A287" t="str">
            <v>CLA286</v>
          </cell>
          <cell r="C287" t="str">
            <v>SIMTECH 3D ACADEMY</v>
          </cell>
          <cell r="D287" t="str">
            <v>BERTEC SARL</v>
          </cell>
        </row>
        <row r="288">
          <cell r="A288" t="str">
            <v>CLA287</v>
          </cell>
          <cell r="C288" t="str">
            <v>SIMTECH 3D ACADEMY</v>
          </cell>
          <cell r="D288" t="str">
            <v>CORPORATE SUPPORT SERVICES (CSS) LTD</v>
          </cell>
        </row>
        <row r="289">
          <cell r="A289" t="str">
            <v>CLA288</v>
          </cell>
          <cell r="C289" t="str">
            <v>SIMTECH 3D ACADEMY</v>
          </cell>
          <cell r="D289" t="str">
            <v>CORPORATE SUPPORT SERVICES (CSS) LTD</v>
          </cell>
        </row>
        <row r="290">
          <cell r="A290" t="str">
            <v>CLA289</v>
          </cell>
          <cell r="C290" t="str">
            <v>GLOBAL CONSULTING SERVICES</v>
          </cell>
          <cell r="D290" t="str">
            <v>ASSOCIATION DES ENTREPRISES DES ZONES INDUSTRIELLES MAGZI DE DOUALA-EZIMAD</v>
          </cell>
        </row>
        <row r="291">
          <cell r="A291" t="str">
            <v>CLA290</v>
          </cell>
          <cell r="C291" t="str">
            <v>GLOBAL CONSULTING SERVICES</v>
          </cell>
          <cell r="D291" t="str">
            <v>ASSOCIATION DES ENTREPRISES DES ZONES INDUSTRIELLES MAGZI DE DOUALA-EZIMAD</v>
          </cell>
        </row>
        <row r="292">
          <cell r="A292" t="str">
            <v>CLA291</v>
          </cell>
          <cell r="C292" t="str">
            <v>ETS TAF SERVICES</v>
          </cell>
          <cell r="D292" t="str">
            <v>GIC POUR LA FABRICATION DES CHAUSSURES EN CUIR DE NGONG (GIC WADOOBE PADE)</v>
          </cell>
        </row>
        <row r="293">
          <cell r="A293" t="str">
            <v>CLA292</v>
          </cell>
          <cell r="C293" t="str">
            <v>CFP LA DOMINICAINE</v>
          </cell>
          <cell r="D293" t="str">
            <v>SCOOP-CA BARKANTEWA</v>
          </cell>
        </row>
        <row r="294">
          <cell r="A294" t="str">
            <v>CLA293</v>
          </cell>
          <cell r="C294" t="str">
            <v>CFP LA DOMINICAINE</v>
          </cell>
          <cell r="D294" t="str">
            <v>SCOOPS KAWTAL KALALI</v>
          </cell>
        </row>
        <row r="295">
          <cell r="A295" t="str">
            <v>CLA294</v>
          </cell>
          <cell r="C295" t="str">
            <v>CFP LA DOMINICAINE</v>
          </cell>
          <cell r="D295" t="str">
            <v>SOCIETE COOPERATIVE SIMPLIFIEE DES ELEVEURS DE BOVINS DE DJOUROUM (SCOOPS GOUDALI DE DJOUROUM)</v>
          </cell>
        </row>
        <row r="296">
          <cell r="A296" t="str">
            <v>CLA295</v>
          </cell>
          <cell r="C296" t="str">
            <v>CFP LA DOMINICAINE</v>
          </cell>
          <cell r="D296" t="str">
            <v>SCOOPS WAÏNABE SOADJONG</v>
          </cell>
        </row>
        <row r="297">
          <cell r="A297" t="str">
            <v>CLA296</v>
          </cell>
          <cell r="C297" t="str">
            <v>CFP LA DOMINICAINE</v>
          </cell>
          <cell r="D297" t="str">
            <v>GIC AGRO-PASTORAL KHALIFA</v>
          </cell>
        </row>
        <row r="298">
          <cell r="A298" t="str">
            <v>CLA297</v>
          </cell>
          <cell r="C298" t="str">
            <v>CFP LA DOMINICAINE</v>
          </cell>
          <cell r="D298" t="str">
            <v>GIC AGRO-PASTORAL DE DARANG SELBE</v>
          </cell>
        </row>
        <row r="299">
          <cell r="A299" t="str">
            <v>CLA298</v>
          </cell>
          <cell r="C299" t="str">
            <v>CFP LA DOMINICAINE</v>
          </cell>
          <cell r="D299" t="str">
            <v>GIC DES ELEVEURS DES EMBOUCHEURS DE BOVINS ‘’BEELA NGAOUSSAI’’</v>
          </cell>
        </row>
        <row r="300">
          <cell r="A300" t="str">
            <v>CLA299</v>
          </cell>
          <cell r="C300" t="str">
            <v>CFP LA DOMINICAINE</v>
          </cell>
          <cell r="D300" t="str">
            <v>SOCIETE COOPERATIVE DE PRODUCTION ET DE COMMERCIALISATION DE MIEL</v>
          </cell>
        </row>
        <row r="301">
          <cell r="A301" t="str">
            <v>CLA300</v>
          </cell>
          <cell r="C301" t="str">
            <v>TENE FISH CENTER (TFC) SARL</v>
          </cell>
          <cell r="D301" t="str">
            <v>GIC DYNAMITE FORCE 9</v>
          </cell>
        </row>
        <row r="302">
          <cell r="A302" t="str">
            <v>CLA301</v>
          </cell>
          <cell r="C302" t="str">
            <v>TENE FISH CENTER (TFC) SARL</v>
          </cell>
          <cell r="D302" t="str">
            <v>GIC DYNAMITE FORCE 9</v>
          </cell>
        </row>
        <row r="303">
          <cell r="A303" t="str">
            <v>CLA302</v>
          </cell>
          <cell r="C303" t="str">
            <v>Ets Perfecta Elevage</v>
          </cell>
          <cell r="D303" t="str">
            <v>GIC PDPAS</v>
          </cell>
        </row>
        <row r="304">
          <cell r="A304" t="str">
            <v/>
          </cell>
          <cell r="C304">
            <v>0</v>
          </cell>
          <cell r="D304">
            <v>0</v>
          </cell>
        </row>
        <row r="305">
          <cell r="A305" t="str">
            <v/>
          </cell>
          <cell r="C305"/>
          <cell r="D305"/>
        </row>
        <row r="306">
          <cell r="A306" t="str">
            <v/>
          </cell>
          <cell r="C306"/>
          <cell r="D306"/>
        </row>
        <row r="307">
          <cell r="A307" t="str">
            <v/>
          </cell>
          <cell r="C307"/>
          <cell r="D307"/>
        </row>
        <row r="308">
          <cell r="A308" t="str">
            <v/>
          </cell>
          <cell r="C308"/>
          <cell r="D308"/>
        </row>
        <row r="309">
          <cell r="A309" t="str">
            <v/>
          </cell>
          <cell r="C309"/>
          <cell r="D309"/>
        </row>
        <row r="310">
          <cell r="A310" t="str">
            <v/>
          </cell>
          <cell r="C310"/>
          <cell r="D310"/>
        </row>
        <row r="311">
          <cell r="A311" t="str">
            <v/>
          </cell>
          <cell r="C311"/>
          <cell r="D311"/>
        </row>
        <row r="312">
          <cell r="A312" t="str">
            <v/>
          </cell>
          <cell r="C312"/>
          <cell r="D312"/>
        </row>
        <row r="313">
          <cell r="A313" t="str">
            <v/>
          </cell>
          <cell r="C313"/>
          <cell r="D313"/>
        </row>
        <row r="314">
          <cell r="A314" t="str">
            <v/>
          </cell>
          <cell r="C314"/>
          <cell r="D314"/>
        </row>
        <row r="315">
          <cell r="A315" t="str">
            <v/>
          </cell>
          <cell r="C315"/>
          <cell r="D315"/>
        </row>
        <row r="316">
          <cell r="A316" t="str">
            <v/>
          </cell>
          <cell r="C316"/>
          <cell r="D316"/>
        </row>
        <row r="317">
          <cell r="A317" t="str">
            <v/>
          </cell>
          <cell r="C317"/>
          <cell r="D317"/>
        </row>
        <row r="318">
          <cell r="A318" t="str">
            <v/>
          </cell>
          <cell r="C318"/>
          <cell r="D318"/>
        </row>
        <row r="319">
          <cell r="A319" t="str">
            <v/>
          </cell>
          <cell r="C319"/>
          <cell r="D319"/>
        </row>
        <row r="320">
          <cell r="A320" t="str">
            <v/>
          </cell>
          <cell r="C320"/>
          <cell r="D320"/>
        </row>
        <row r="321">
          <cell r="A321" t="str">
            <v/>
          </cell>
          <cell r="C321"/>
          <cell r="D321"/>
        </row>
        <row r="322">
          <cell r="A322" t="str">
            <v/>
          </cell>
          <cell r="C322"/>
          <cell r="D322"/>
        </row>
        <row r="323">
          <cell r="A323" t="str">
            <v/>
          </cell>
          <cell r="C323"/>
          <cell r="D323"/>
        </row>
        <row r="324">
          <cell r="A324" t="str">
            <v/>
          </cell>
          <cell r="C324"/>
          <cell r="D324"/>
        </row>
        <row r="325">
          <cell r="A325" t="str">
            <v/>
          </cell>
          <cell r="C325"/>
          <cell r="D325"/>
        </row>
        <row r="326">
          <cell r="A326" t="str">
            <v/>
          </cell>
          <cell r="C326"/>
          <cell r="D326"/>
        </row>
        <row r="327">
          <cell r="A327" t="str">
            <v/>
          </cell>
          <cell r="C327"/>
          <cell r="D327"/>
        </row>
        <row r="328">
          <cell r="A328" t="str">
            <v/>
          </cell>
          <cell r="C328"/>
          <cell r="D328"/>
        </row>
        <row r="329">
          <cell r="A329" t="str">
            <v/>
          </cell>
          <cell r="C329"/>
          <cell r="D329"/>
        </row>
        <row r="330">
          <cell r="A330" t="str">
            <v/>
          </cell>
          <cell r="C330"/>
          <cell r="D330"/>
        </row>
        <row r="331">
          <cell r="A331" t="str">
            <v/>
          </cell>
          <cell r="C331"/>
          <cell r="D331"/>
        </row>
        <row r="332">
          <cell r="A332" t="str">
            <v/>
          </cell>
          <cell r="C332"/>
          <cell r="D332"/>
        </row>
        <row r="333">
          <cell r="A333" t="str">
            <v/>
          </cell>
          <cell r="C333"/>
          <cell r="D333"/>
        </row>
        <row r="334">
          <cell r="A334" t="str">
            <v/>
          </cell>
          <cell r="C334"/>
          <cell r="D334"/>
        </row>
        <row r="335">
          <cell r="A335" t="str">
            <v/>
          </cell>
          <cell r="C335"/>
          <cell r="D335"/>
        </row>
        <row r="336">
          <cell r="A336" t="str">
            <v/>
          </cell>
          <cell r="C336"/>
          <cell r="D336"/>
        </row>
        <row r="337">
          <cell r="A337" t="str">
            <v/>
          </cell>
          <cell r="C337"/>
          <cell r="D337"/>
        </row>
        <row r="338">
          <cell r="A338" t="str">
            <v/>
          </cell>
          <cell r="C338"/>
          <cell r="D338"/>
        </row>
        <row r="339">
          <cell r="A339" t="str">
            <v/>
          </cell>
          <cell r="C339"/>
          <cell r="D339"/>
        </row>
        <row r="340">
          <cell r="A340" t="str">
            <v/>
          </cell>
          <cell r="C340"/>
          <cell r="D340"/>
        </row>
        <row r="341">
          <cell r="A341" t="str">
            <v/>
          </cell>
          <cell r="C341"/>
          <cell r="D341"/>
        </row>
        <row r="342">
          <cell r="A342" t="str">
            <v/>
          </cell>
          <cell r="C342"/>
          <cell r="D342"/>
        </row>
        <row r="343">
          <cell r="A343" t="str">
            <v/>
          </cell>
          <cell r="C343"/>
          <cell r="D343"/>
        </row>
        <row r="344">
          <cell r="A344" t="str">
            <v/>
          </cell>
          <cell r="C344"/>
          <cell r="D344"/>
        </row>
        <row r="345">
          <cell r="A345" t="str">
            <v/>
          </cell>
          <cell r="C345"/>
          <cell r="D345"/>
        </row>
        <row r="346">
          <cell r="A346" t="str">
            <v/>
          </cell>
          <cell r="C346"/>
          <cell r="D346"/>
        </row>
        <row r="347">
          <cell r="A347" t="str">
            <v/>
          </cell>
          <cell r="C347"/>
          <cell r="D347"/>
        </row>
        <row r="348">
          <cell r="A348" t="str">
            <v/>
          </cell>
          <cell r="C348"/>
          <cell r="D348"/>
        </row>
        <row r="349">
          <cell r="A349" t="str">
            <v/>
          </cell>
          <cell r="C349"/>
          <cell r="D349"/>
        </row>
        <row r="350">
          <cell r="A350" t="str">
            <v/>
          </cell>
          <cell r="C350"/>
          <cell r="D350"/>
        </row>
        <row r="351">
          <cell r="A351" t="str">
            <v/>
          </cell>
          <cell r="C351"/>
          <cell r="D351"/>
        </row>
        <row r="352">
          <cell r="A352" t="str">
            <v/>
          </cell>
          <cell r="C352"/>
          <cell r="D352"/>
        </row>
        <row r="353">
          <cell r="A353" t="str">
            <v/>
          </cell>
          <cell r="C353"/>
          <cell r="D353"/>
        </row>
        <row r="354">
          <cell r="A354" t="str">
            <v/>
          </cell>
          <cell r="C354"/>
          <cell r="D354"/>
        </row>
        <row r="355">
          <cell r="A355" t="str">
            <v/>
          </cell>
          <cell r="C355"/>
          <cell r="D355"/>
        </row>
        <row r="356">
          <cell r="A356" t="str">
            <v/>
          </cell>
          <cell r="C356"/>
          <cell r="D356"/>
        </row>
        <row r="357">
          <cell r="A357" t="str">
            <v/>
          </cell>
          <cell r="C357"/>
          <cell r="D357"/>
        </row>
        <row r="358">
          <cell r="A358" t="str">
            <v/>
          </cell>
          <cell r="C358"/>
          <cell r="D358"/>
        </row>
        <row r="359">
          <cell r="A359" t="str">
            <v/>
          </cell>
          <cell r="C359"/>
          <cell r="D359"/>
        </row>
        <row r="360">
          <cell r="A360" t="str">
            <v/>
          </cell>
          <cell r="C360"/>
          <cell r="D360"/>
        </row>
        <row r="361">
          <cell r="A361" t="str">
            <v/>
          </cell>
          <cell r="C361"/>
          <cell r="D361"/>
        </row>
        <row r="362">
          <cell r="A362" t="str">
            <v/>
          </cell>
          <cell r="C362"/>
          <cell r="D362"/>
        </row>
        <row r="363">
          <cell r="A363" t="str">
            <v/>
          </cell>
          <cell r="C363"/>
          <cell r="D363"/>
        </row>
        <row r="364">
          <cell r="A364" t="str">
            <v/>
          </cell>
          <cell r="C364"/>
          <cell r="D364"/>
        </row>
        <row r="365">
          <cell r="A365" t="str">
            <v/>
          </cell>
          <cell r="C365"/>
          <cell r="D365"/>
        </row>
        <row r="366">
          <cell r="A366" t="str">
            <v/>
          </cell>
          <cell r="C366"/>
          <cell r="D366"/>
        </row>
        <row r="367">
          <cell r="A367" t="str">
            <v/>
          </cell>
          <cell r="C367"/>
          <cell r="D367"/>
        </row>
        <row r="368">
          <cell r="A368" t="str">
            <v/>
          </cell>
          <cell r="C368"/>
          <cell r="D368"/>
        </row>
        <row r="369">
          <cell r="A369" t="str">
            <v/>
          </cell>
          <cell r="C369"/>
          <cell r="D369"/>
        </row>
        <row r="370">
          <cell r="A370" t="str">
            <v/>
          </cell>
          <cell r="C370"/>
          <cell r="D370"/>
        </row>
        <row r="371">
          <cell r="A371" t="str">
            <v/>
          </cell>
          <cell r="C371"/>
          <cell r="D371"/>
        </row>
        <row r="372">
          <cell r="A372" t="str">
            <v/>
          </cell>
          <cell r="C372"/>
          <cell r="D372"/>
        </row>
        <row r="373">
          <cell r="A373" t="str">
            <v/>
          </cell>
          <cell r="C373"/>
          <cell r="D373"/>
        </row>
        <row r="374">
          <cell r="A374" t="str">
            <v/>
          </cell>
          <cell r="C374"/>
          <cell r="D374"/>
        </row>
        <row r="375">
          <cell r="A375" t="str">
            <v/>
          </cell>
          <cell r="C375"/>
          <cell r="D375"/>
        </row>
        <row r="376">
          <cell r="A376" t="str">
            <v/>
          </cell>
          <cell r="C376"/>
          <cell r="D376"/>
        </row>
        <row r="377">
          <cell r="A377" t="str">
            <v/>
          </cell>
          <cell r="C377"/>
          <cell r="D377"/>
        </row>
        <row r="378">
          <cell r="A378" t="str">
            <v/>
          </cell>
          <cell r="C378"/>
          <cell r="D378"/>
        </row>
        <row r="379">
          <cell r="A379" t="str">
            <v/>
          </cell>
          <cell r="C379"/>
          <cell r="D379"/>
        </row>
        <row r="380">
          <cell r="A380" t="str">
            <v/>
          </cell>
          <cell r="C380"/>
          <cell r="D380"/>
        </row>
        <row r="381">
          <cell r="A381" t="str">
            <v/>
          </cell>
          <cell r="C381"/>
          <cell r="D381"/>
        </row>
        <row r="382">
          <cell r="A382" t="str">
            <v/>
          </cell>
          <cell r="C382"/>
          <cell r="D382"/>
        </row>
        <row r="383">
          <cell r="A383" t="str">
            <v/>
          </cell>
          <cell r="C383"/>
          <cell r="D383"/>
        </row>
        <row r="384">
          <cell r="A384" t="str">
            <v/>
          </cell>
          <cell r="C384"/>
          <cell r="D384"/>
        </row>
        <row r="385">
          <cell r="A385" t="str">
            <v/>
          </cell>
          <cell r="C385"/>
          <cell r="D385"/>
        </row>
        <row r="386">
          <cell r="A386" t="str">
            <v/>
          </cell>
          <cell r="C386"/>
          <cell r="D386"/>
        </row>
        <row r="387">
          <cell r="A387" t="str">
            <v/>
          </cell>
          <cell r="C387"/>
          <cell r="D387"/>
        </row>
        <row r="388">
          <cell r="A388" t="str">
            <v/>
          </cell>
          <cell r="C388"/>
          <cell r="D388"/>
        </row>
        <row r="389">
          <cell r="A389" t="str">
            <v/>
          </cell>
          <cell r="C389"/>
          <cell r="D389"/>
        </row>
        <row r="390">
          <cell r="A390" t="str">
            <v/>
          </cell>
          <cell r="C390"/>
          <cell r="D390"/>
        </row>
        <row r="391">
          <cell r="A391" t="str">
            <v/>
          </cell>
          <cell r="C391"/>
          <cell r="D391"/>
        </row>
        <row r="392">
          <cell r="A392" t="str">
            <v/>
          </cell>
          <cell r="C392"/>
          <cell r="D392"/>
        </row>
        <row r="393">
          <cell r="A393" t="str">
            <v/>
          </cell>
          <cell r="C393"/>
          <cell r="D393"/>
        </row>
        <row r="394">
          <cell r="A394" t="str">
            <v/>
          </cell>
          <cell r="C394"/>
          <cell r="D394"/>
        </row>
        <row r="395">
          <cell r="A395" t="str">
            <v/>
          </cell>
          <cell r="C395"/>
          <cell r="D395"/>
        </row>
        <row r="396">
          <cell r="A396" t="str">
            <v/>
          </cell>
          <cell r="C396"/>
          <cell r="D396"/>
        </row>
        <row r="397">
          <cell r="A397" t="str">
            <v/>
          </cell>
          <cell r="C397"/>
          <cell r="D397"/>
        </row>
        <row r="398">
          <cell r="A398" t="str">
            <v/>
          </cell>
          <cell r="C398"/>
          <cell r="D398"/>
        </row>
        <row r="399">
          <cell r="A399" t="str">
            <v/>
          </cell>
          <cell r="C399"/>
          <cell r="D399"/>
        </row>
        <row r="400">
          <cell r="A400" t="str">
            <v/>
          </cell>
          <cell r="C400"/>
          <cell r="D400"/>
        </row>
        <row r="401">
          <cell r="A401" t="str">
            <v/>
          </cell>
          <cell r="C401"/>
          <cell r="D401"/>
        </row>
        <row r="402">
          <cell r="A402" t="str">
            <v/>
          </cell>
          <cell r="C402"/>
          <cell r="D402"/>
        </row>
        <row r="403">
          <cell r="A403" t="str">
            <v/>
          </cell>
          <cell r="C403"/>
          <cell r="D403"/>
        </row>
        <row r="404">
          <cell r="A404" t="str">
            <v/>
          </cell>
          <cell r="C404"/>
          <cell r="D404"/>
        </row>
        <row r="405">
          <cell r="A405" t="str">
            <v/>
          </cell>
          <cell r="C405"/>
          <cell r="D405"/>
        </row>
        <row r="406">
          <cell r="A406" t="str">
            <v/>
          </cell>
          <cell r="C406"/>
          <cell r="D406"/>
        </row>
        <row r="407">
          <cell r="A407" t="str">
            <v/>
          </cell>
          <cell r="C407"/>
          <cell r="D407"/>
        </row>
        <row r="408">
          <cell r="A408" t="str">
            <v/>
          </cell>
          <cell r="C408"/>
          <cell r="D408"/>
        </row>
        <row r="409">
          <cell r="A409" t="str">
            <v/>
          </cell>
          <cell r="C409"/>
          <cell r="D409"/>
        </row>
        <row r="410">
          <cell r="A410" t="str">
            <v/>
          </cell>
          <cell r="C410"/>
          <cell r="D410"/>
        </row>
        <row r="411">
          <cell r="A411" t="str">
            <v/>
          </cell>
          <cell r="C411"/>
          <cell r="D411"/>
        </row>
        <row r="412">
          <cell r="A412" t="str">
            <v/>
          </cell>
          <cell r="C412"/>
          <cell r="D412"/>
        </row>
        <row r="413">
          <cell r="A413" t="str">
            <v/>
          </cell>
          <cell r="C413"/>
          <cell r="D413"/>
        </row>
        <row r="414">
          <cell r="A414" t="str">
            <v/>
          </cell>
          <cell r="C414"/>
          <cell r="D414"/>
        </row>
        <row r="415">
          <cell r="A415" t="str">
            <v/>
          </cell>
          <cell r="C415"/>
          <cell r="D415"/>
        </row>
        <row r="416">
          <cell r="A416" t="str">
            <v/>
          </cell>
          <cell r="C416"/>
          <cell r="D416"/>
        </row>
        <row r="417">
          <cell r="A417" t="str">
            <v/>
          </cell>
          <cell r="C417"/>
          <cell r="D417"/>
        </row>
        <row r="418">
          <cell r="A418" t="str">
            <v/>
          </cell>
          <cell r="C418"/>
          <cell r="D418"/>
        </row>
        <row r="419">
          <cell r="A419" t="str">
            <v/>
          </cell>
          <cell r="C419"/>
          <cell r="D419"/>
        </row>
        <row r="420">
          <cell r="A420" t="str">
            <v/>
          </cell>
          <cell r="C420"/>
          <cell r="D420"/>
        </row>
        <row r="421">
          <cell r="A421" t="str">
            <v/>
          </cell>
          <cell r="C421"/>
          <cell r="D421"/>
        </row>
        <row r="422">
          <cell r="A422" t="str">
            <v/>
          </cell>
          <cell r="C422"/>
          <cell r="D422"/>
        </row>
        <row r="423">
          <cell r="A423" t="str">
            <v/>
          </cell>
          <cell r="C423"/>
          <cell r="D423"/>
        </row>
        <row r="424">
          <cell r="A424" t="str">
            <v/>
          </cell>
          <cell r="C424"/>
          <cell r="D424"/>
        </row>
        <row r="425">
          <cell r="A425" t="str">
            <v/>
          </cell>
          <cell r="C425"/>
          <cell r="D425"/>
        </row>
        <row r="426">
          <cell r="A426" t="str">
            <v/>
          </cell>
          <cell r="C426"/>
          <cell r="D426"/>
        </row>
        <row r="427">
          <cell r="A427" t="str">
            <v/>
          </cell>
          <cell r="C427"/>
          <cell r="D427"/>
        </row>
        <row r="428">
          <cell r="A428" t="str">
            <v/>
          </cell>
          <cell r="C428"/>
          <cell r="D428"/>
        </row>
        <row r="429">
          <cell r="A429" t="str">
            <v/>
          </cell>
          <cell r="C429"/>
          <cell r="D429"/>
        </row>
        <row r="430">
          <cell r="A430" t="str">
            <v/>
          </cell>
          <cell r="C430"/>
          <cell r="D430"/>
        </row>
        <row r="431">
          <cell r="A431" t="str">
            <v/>
          </cell>
          <cell r="C431"/>
          <cell r="D431"/>
        </row>
        <row r="432">
          <cell r="A432" t="str">
            <v/>
          </cell>
          <cell r="C432"/>
          <cell r="D432"/>
        </row>
        <row r="433">
          <cell r="A433" t="str">
            <v/>
          </cell>
          <cell r="C433"/>
          <cell r="D433"/>
        </row>
        <row r="434">
          <cell r="A434" t="str">
            <v/>
          </cell>
          <cell r="C434"/>
          <cell r="D434"/>
        </row>
        <row r="435">
          <cell r="A435" t="str">
            <v/>
          </cell>
          <cell r="C435"/>
          <cell r="D435"/>
        </row>
        <row r="436">
          <cell r="A436" t="str">
            <v/>
          </cell>
          <cell r="C436"/>
          <cell r="D436"/>
        </row>
        <row r="437">
          <cell r="A437" t="str">
            <v/>
          </cell>
          <cell r="C437"/>
          <cell r="D437"/>
        </row>
        <row r="438">
          <cell r="A438" t="str">
            <v/>
          </cell>
          <cell r="C438"/>
          <cell r="D438"/>
        </row>
        <row r="439">
          <cell r="A439" t="str">
            <v/>
          </cell>
          <cell r="C439"/>
          <cell r="D439"/>
        </row>
        <row r="440">
          <cell r="A440" t="str">
            <v/>
          </cell>
          <cell r="C440"/>
          <cell r="D440"/>
        </row>
        <row r="441">
          <cell r="A441" t="str">
            <v/>
          </cell>
          <cell r="C441"/>
          <cell r="D441"/>
        </row>
        <row r="442">
          <cell r="A442" t="str">
            <v/>
          </cell>
          <cell r="C442"/>
          <cell r="D442"/>
        </row>
        <row r="443">
          <cell r="A443" t="str">
            <v/>
          </cell>
          <cell r="C443"/>
          <cell r="D443"/>
        </row>
        <row r="444">
          <cell r="A444" t="str">
            <v/>
          </cell>
          <cell r="C444"/>
          <cell r="D444"/>
        </row>
        <row r="445">
          <cell r="A445" t="str">
            <v/>
          </cell>
          <cell r="C445"/>
          <cell r="D445"/>
        </row>
        <row r="446">
          <cell r="A446" t="str">
            <v/>
          </cell>
          <cell r="C446"/>
          <cell r="D446"/>
        </row>
        <row r="447">
          <cell r="A447" t="str">
            <v/>
          </cell>
          <cell r="C447"/>
          <cell r="D447"/>
        </row>
        <row r="448">
          <cell r="A448" t="str">
            <v/>
          </cell>
          <cell r="C448"/>
          <cell r="D448"/>
        </row>
        <row r="449">
          <cell r="A449" t="str">
            <v/>
          </cell>
          <cell r="C449"/>
          <cell r="D449"/>
        </row>
        <row r="450">
          <cell r="A450" t="str">
            <v/>
          </cell>
          <cell r="C450"/>
          <cell r="D450"/>
        </row>
        <row r="451">
          <cell r="A451" t="str">
            <v/>
          </cell>
          <cell r="C451"/>
          <cell r="D451"/>
        </row>
        <row r="452">
          <cell r="A452" t="str">
            <v/>
          </cell>
          <cell r="C452"/>
          <cell r="D452"/>
        </row>
        <row r="453">
          <cell r="A453" t="str">
            <v/>
          </cell>
          <cell r="C453"/>
          <cell r="D453"/>
        </row>
        <row r="454">
          <cell r="A454" t="str">
            <v/>
          </cell>
          <cell r="C454"/>
          <cell r="D454"/>
        </row>
        <row r="455">
          <cell r="A455" t="str">
            <v/>
          </cell>
          <cell r="C455"/>
          <cell r="D455"/>
        </row>
        <row r="456">
          <cell r="A456" t="str">
            <v/>
          </cell>
          <cell r="C456"/>
          <cell r="D456"/>
        </row>
        <row r="457">
          <cell r="A457" t="str">
            <v/>
          </cell>
          <cell r="C457"/>
          <cell r="D457"/>
        </row>
        <row r="458">
          <cell r="A458" t="str">
            <v/>
          </cell>
          <cell r="C458"/>
          <cell r="D458"/>
        </row>
        <row r="459">
          <cell r="A459" t="str">
            <v/>
          </cell>
          <cell r="C459"/>
          <cell r="D459"/>
        </row>
        <row r="460">
          <cell r="A460" t="str">
            <v/>
          </cell>
          <cell r="C460"/>
          <cell r="D460"/>
        </row>
        <row r="461">
          <cell r="A461" t="str">
            <v/>
          </cell>
          <cell r="C461"/>
          <cell r="D461"/>
        </row>
        <row r="462">
          <cell r="A462" t="str">
            <v/>
          </cell>
          <cell r="C462"/>
          <cell r="D462"/>
        </row>
        <row r="463">
          <cell r="A463" t="str">
            <v/>
          </cell>
          <cell r="C463"/>
          <cell r="D463"/>
        </row>
        <row r="464">
          <cell r="A464" t="str">
            <v/>
          </cell>
          <cell r="C464"/>
          <cell r="D464"/>
        </row>
        <row r="465">
          <cell r="A465" t="str">
            <v/>
          </cell>
          <cell r="C465"/>
          <cell r="D465"/>
        </row>
        <row r="466">
          <cell r="A466" t="str">
            <v/>
          </cell>
          <cell r="C466"/>
          <cell r="D466"/>
        </row>
        <row r="467">
          <cell r="A467" t="str">
            <v/>
          </cell>
          <cell r="C467"/>
          <cell r="D467"/>
        </row>
        <row r="468">
          <cell r="A468" t="str">
            <v/>
          </cell>
          <cell r="C468"/>
          <cell r="D468"/>
        </row>
        <row r="469">
          <cell r="A469" t="str">
            <v/>
          </cell>
          <cell r="C469"/>
          <cell r="D469"/>
        </row>
        <row r="470">
          <cell r="A470" t="str">
            <v/>
          </cell>
          <cell r="C470"/>
          <cell r="D470"/>
        </row>
        <row r="471">
          <cell r="A471" t="str">
            <v/>
          </cell>
          <cell r="C471"/>
          <cell r="D471"/>
        </row>
        <row r="472">
          <cell r="A472" t="str">
            <v/>
          </cell>
          <cell r="C472"/>
          <cell r="D472"/>
        </row>
        <row r="473">
          <cell r="A473" t="str">
            <v/>
          </cell>
          <cell r="C473"/>
          <cell r="D473"/>
        </row>
        <row r="474">
          <cell r="A474" t="str">
            <v/>
          </cell>
          <cell r="C474"/>
          <cell r="D474"/>
        </row>
        <row r="475">
          <cell r="A475" t="str">
            <v/>
          </cell>
          <cell r="C475"/>
          <cell r="D475"/>
        </row>
        <row r="476">
          <cell r="A476" t="str">
            <v/>
          </cell>
          <cell r="C476"/>
          <cell r="D476"/>
        </row>
        <row r="477">
          <cell r="A477" t="str">
            <v/>
          </cell>
          <cell r="C477"/>
          <cell r="D477"/>
        </row>
        <row r="478">
          <cell r="A478" t="str">
            <v/>
          </cell>
          <cell r="C478"/>
          <cell r="D478"/>
        </row>
        <row r="479">
          <cell r="A479" t="str">
            <v/>
          </cell>
          <cell r="C479"/>
          <cell r="D479"/>
        </row>
        <row r="480">
          <cell r="A480" t="str">
            <v/>
          </cell>
          <cell r="C480"/>
          <cell r="D480"/>
        </row>
        <row r="481">
          <cell r="A481" t="str">
            <v/>
          </cell>
          <cell r="C481"/>
          <cell r="D481"/>
        </row>
        <row r="482">
          <cell r="A482" t="str">
            <v/>
          </cell>
          <cell r="C482"/>
          <cell r="D482"/>
        </row>
        <row r="483">
          <cell r="A483" t="str">
            <v/>
          </cell>
          <cell r="C483"/>
          <cell r="D483"/>
        </row>
        <row r="484">
          <cell r="A484" t="str">
            <v/>
          </cell>
          <cell r="C484"/>
          <cell r="D484"/>
        </row>
        <row r="485">
          <cell r="A485" t="str">
            <v/>
          </cell>
          <cell r="C485"/>
          <cell r="D485"/>
        </row>
        <row r="486">
          <cell r="A486" t="str">
            <v/>
          </cell>
          <cell r="C486"/>
          <cell r="D486"/>
        </row>
        <row r="487">
          <cell r="A487" t="str">
            <v/>
          </cell>
          <cell r="C487"/>
          <cell r="D487"/>
        </row>
        <row r="488">
          <cell r="A488" t="str">
            <v/>
          </cell>
          <cell r="C488"/>
          <cell r="D488"/>
        </row>
        <row r="489">
          <cell r="A489" t="str">
            <v/>
          </cell>
          <cell r="C489"/>
          <cell r="D489"/>
        </row>
        <row r="490">
          <cell r="A490" t="str">
            <v/>
          </cell>
          <cell r="C490"/>
          <cell r="D490"/>
        </row>
        <row r="491">
          <cell r="A491" t="str">
            <v/>
          </cell>
          <cell r="C491"/>
          <cell r="D491"/>
        </row>
        <row r="492">
          <cell r="A492" t="str">
            <v/>
          </cell>
          <cell r="C492"/>
          <cell r="D492"/>
        </row>
        <row r="493">
          <cell r="A493" t="str">
            <v/>
          </cell>
          <cell r="C493"/>
          <cell r="D493"/>
        </row>
        <row r="494">
          <cell r="A494" t="str">
            <v/>
          </cell>
          <cell r="C494"/>
          <cell r="D494"/>
        </row>
        <row r="495">
          <cell r="A495" t="str">
            <v/>
          </cell>
          <cell r="C495"/>
          <cell r="D495"/>
        </row>
        <row r="496">
          <cell r="A496" t="str">
            <v/>
          </cell>
          <cell r="C496"/>
          <cell r="D496"/>
        </row>
        <row r="497">
          <cell r="A497" t="str">
            <v/>
          </cell>
          <cell r="C497"/>
          <cell r="D497"/>
        </row>
        <row r="498">
          <cell r="A498" t="str">
            <v/>
          </cell>
          <cell r="C498"/>
          <cell r="D498"/>
        </row>
        <row r="499">
          <cell r="A499" t="str">
            <v/>
          </cell>
          <cell r="C499"/>
          <cell r="D499"/>
        </row>
        <row r="500">
          <cell r="A500" t="str">
            <v/>
          </cell>
          <cell r="C500"/>
          <cell r="D500"/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ltra Tech" refreshedDate="46114.477712499996" backgroundQuery="1" createdVersion="8" refreshedVersion="8" minRefreshableVersion="3" recordCount="0" supportSubquery="1" supportAdvancedDrill="1" xr:uid="{1F3895E7-F47D-4E4A-BDC5-B3EFB22ADA2D}">
  <cacheSource type="external" connectionId="4"/>
  <cacheFields count="3">
    <cacheField name="[Classes].[Prestation ID].[Prestation ID]" caption="Prestation ID" numFmtId="0" hierarchy="1" level="1">
      <sharedItems count="75">
        <s v="PRESTA001"/>
        <s v="PRESTA003"/>
        <s v="PRESTA008"/>
        <s v="PRESTA010"/>
        <s v="PRESTA012"/>
        <s v="PRESTA017"/>
        <s v="PRESTA018"/>
        <s v="PRESTA019"/>
        <s v="PRESTA022"/>
        <s v="PRESTA023"/>
        <s v="PRESTA024"/>
        <s v="PRESTA027"/>
        <s v="PRESTA028"/>
        <s v="PRESTA029"/>
        <s v="PRESTA032"/>
        <s v="PRESTA036"/>
        <s v="PRESTA038"/>
        <s v="PRESTA039"/>
        <s v="PRESTA044"/>
        <s v="PRESTA045"/>
        <s v="PRESTA046"/>
        <s v="PRESTA047"/>
        <s v="PRESTA049"/>
        <s v="PRESTA050"/>
        <s v="PRESTA051"/>
        <s v="PRESTA054"/>
        <s v="PRESTA058"/>
        <s v="PRESTA063"/>
        <s v="PRESTA064"/>
        <s v="PRESTA066"/>
        <s v="PRESTA071"/>
        <s v="PRESTA075"/>
        <s v="PRESTA079"/>
        <s v="PRESTA082"/>
        <s v="PRESTA083"/>
        <s v="PRESTA085"/>
        <s v="PRESTA086"/>
        <s v="PRESTA087"/>
        <s v="PRESTA099"/>
        <s v="PRESTA104"/>
        <s v="PRESTA106"/>
        <s v="PRESTA113"/>
        <s v="PRESTA118"/>
        <s v="PRESTA119"/>
        <s v="PRESTA121"/>
        <s v="PRESTA125"/>
        <s v="PRESTA126"/>
        <s v="PRESTA128"/>
        <s v="PRESTA129"/>
        <s v="PRESTA131"/>
        <s v="PRESTA132"/>
        <s v="PRESTA133"/>
        <s v="PRESTA134"/>
        <s v="PRESTA136"/>
        <s v="PRESTA138"/>
        <s v="PRESTA140"/>
        <s v="PRESTA143"/>
        <s v="PRESTA144"/>
        <s v="PRESTA145"/>
        <s v="PRESTA146"/>
        <s v="PRESTA147"/>
        <s v="PRESTA149"/>
        <s v="PRESTA151"/>
        <s v="PRESTA153"/>
        <s v="PRESTA154"/>
        <s v="PRESTA158"/>
        <s v="PRESTA159"/>
        <s v="PRESTA163"/>
        <s v="PRESTA164"/>
        <s v="PRESTA165"/>
        <s v="PRESTA166"/>
        <s v="PRESTA168"/>
        <s v="PRESTA170"/>
        <s v="PRESTA172"/>
        <s v="PRESTA173"/>
      </sharedItems>
    </cacheField>
    <cacheField name="[Classes].[Classe ID].[Classe ID]" caption="Classe ID" numFmtId="0" level="1">
      <sharedItems count="226">
        <s v="CLA037"/>
        <s v="CLA014"/>
        <s v="CLA049"/>
        <s v="CLA050"/>
        <s v="CLA051"/>
        <s v="CLA052"/>
        <s v="CLA053"/>
        <s v="CLA092"/>
        <s v="CLA093"/>
        <s v="CLA094"/>
        <s v="CLA095"/>
        <s v="CLA096"/>
        <s v="CLA097"/>
        <s v="CLA098"/>
        <s v="CLA099"/>
        <s v="CLA100"/>
        <s v="CLA101"/>
        <s v="CLA102"/>
        <s v="CLA103"/>
        <s v="CLA104"/>
        <s v="CLA105"/>
        <s v="CLA106"/>
        <s v="CLA021"/>
        <s v="CLA158"/>
        <s v="CLA110"/>
        <s v="CLA111"/>
        <s v="CLA112"/>
        <s v="CLA113"/>
        <s v="CLA114"/>
        <s v="CLA115"/>
        <s v="CLA116"/>
        <s v="CLA117"/>
        <s v="CLA118"/>
        <s v="CLA119"/>
        <s v="CLA120"/>
        <s v="CLA121"/>
        <s v="CLA122"/>
        <s v="CLA123"/>
        <s v="CLA124"/>
        <s v="CLA227"/>
        <s v="CLA228"/>
        <s v="CLA229"/>
        <s v="CLA230"/>
        <s v="CLA231"/>
        <s v="CLA232"/>
        <s v="CLA233"/>
        <s v="CLA234"/>
        <s v="CLA235"/>
        <s v="CLA236"/>
        <s v="CLA237"/>
        <s v="CLA238"/>
        <s v="CLA239"/>
        <s v="CLA240"/>
        <s v="CLA241"/>
        <s v="CLA242"/>
        <s v="CLA186"/>
        <s v="CLA187"/>
        <s v="CLA128"/>
        <s v="CLA176"/>
        <s v="CLA177"/>
        <s v="CLA210"/>
        <s v="CLA188"/>
        <s v="CLA189"/>
        <s v="CLA178"/>
        <s v="CLA179"/>
        <s v="CLA149"/>
        <s v="CLA150"/>
        <s v="CLA151"/>
        <s v="CLA152"/>
        <s v="CLA153"/>
        <s v="CLA154"/>
        <s v="CLA155"/>
        <s v="CLA156"/>
        <s v="CLA157"/>
        <s v="CLA175"/>
        <s v="CLA192"/>
        <s v="CLA193"/>
        <s v="CLA243"/>
        <s v="CLA244"/>
        <s v="CLA245"/>
        <s v="CLA246"/>
        <s v="CLA247"/>
        <s v="CLA029"/>
        <s v="CLA030"/>
        <s v="CLA031"/>
        <s v="CLA032"/>
        <s v="CLA182"/>
        <s v="CLA169"/>
        <s v="CLA183"/>
        <s v="CLA184"/>
        <s v="CLA185"/>
        <s v="CLA223"/>
        <s v="CLA224"/>
        <s v="CLA016"/>
        <s v="CLA017"/>
        <s v="CLA018"/>
        <s v="CLA019"/>
        <s v="CLA020"/>
        <s v="CLA025"/>
        <s v="CLA027"/>
        <s v="CLA033"/>
        <s v="CLA034"/>
        <s v="CLA137"/>
        <s v="CLA138"/>
        <s v="CLA211"/>
        <s v="CLA212"/>
        <s v="CLA213"/>
        <s v="CLA214"/>
        <s v="CLA215"/>
        <s v="CLA039"/>
        <s v="CLA171"/>
        <s v="CLA172"/>
        <s v="CLA173"/>
        <s v="CLA015"/>
        <s v="CLA190"/>
        <s v="CLA077"/>
        <s v="CLA078"/>
        <s v="CLA079"/>
        <s v="CLA174"/>
        <s v="CLA217"/>
        <s v="CLA218"/>
        <s v="CLA219"/>
        <s v="CLA057"/>
        <s v="CLA058"/>
        <s v="CLA059"/>
        <s v="CLA060"/>
        <s v="CLA061"/>
        <s v="CLA062"/>
        <s v="CLA063"/>
        <s v="CLA064"/>
        <s v="CLA065"/>
        <s v="CLA066"/>
        <s v="CLA067"/>
        <s v="CLA068"/>
        <s v="CLA069"/>
        <s v="CLA070"/>
        <s v="CLA071"/>
        <s v="CLA072"/>
        <s v="CLA073"/>
        <s v="CLA074"/>
        <s v="CLA075"/>
        <s v="CLA076"/>
        <s v="CLA191"/>
        <s v="CLA127"/>
        <s v="CLA088"/>
        <s v="CLA089"/>
        <s v="CLA090"/>
        <s v="CLA091"/>
        <s v="CLA013"/>
        <s v="CLA258"/>
        <s v="CLA259"/>
        <s v="CLA260"/>
        <s v="CLA261"/>
        <s v="CLA216"/>
        <s v="CLA046"/>
        <s v="CLA047"/>
        <s v="CLA048"/>
        <s v="CLA139"/>
        <s v="CLA140"/>
        <s v="CLA141"/>
        <s v="CLA142"/>
        <s v="CLA143"/>
        <s v="CLA144"/>
        <s v="CLA145"/>
        <s v="CLA146"/>
        <s v="CLA147"/>
        <s v="CLA148"/>
        <s v="CLA170"/>
        <s v="CLA199"/>
        <s v="CLA129"/>
        <s v="CLA196"/>
        <s v="CLA197"/>
        <s v="CLA198"/>
        <s v="CLA042"/>
        <s v="CLA043"/>
        <s v="CLA044"/>
        <s v="CLA045"/>
        <s v="CLA084"/>
        <s v="CLA085"/>
        <s v="CLA086"/>
        <s v="CLA087"/>
        <s v="CLA250"/>
        <s v="CLA036"/>
        <s v="CLA181"/>
        <s v="CLA248"/>
        <s v="CLA035"/>
        <s v="CLA226"/>
        <s v="CLA080"/>
        <s v="CLA081"/>
        <s v="CLA082"/>
        <s v="CLA083"/>
        <s v="CLA249"/>
        <s v="CLA028"/>
        <s v="CLA054"/>
        <s v="CLA056"/>
        <s v="CLA225"/>
        <s v="CLA222"/>
        <s v="CLA221"/>
        <s v="CLA055"/>
        <s v="CLA022"/>
        <s v="CLA023"/>
        <s v="CLA038"/>
        <s v="CLA126"/>
        <s v="CLA194"/>
        <s v="CLA195"/>
        <s v="CLA012"/>
        <s v="CLA130"/>
        <s v="CLA300"/>
        <s v="CLA301"/>
        <s v="CLA200"/>
        <s v="CLA131"/>
        <s v="CLA132"/>
        <s v="CLA133"/>
        <s v="CLA134"/>
        <s v="CLA135"/>
        <s v="CLA136"/>
        <s v="CLA180"/>
        <s v="CLA011"/>
        <s v="CLA107"/>
        <s v="CLA108"/>
        <s v="CLA109"/>
        <s v="CLA024"/>
        <s v="CLA125"/>
        <s v="CLA040"/>
        <s v="CLA041"/>
        <s v="CLA026"/>
      </sharedItems>
    </cacheField>
    <cacheField name="[Classes].[Total classe de la prestation termine].[Total classe de la prestation termine]" caption="Total classe de la prestation termine" numFmtId="0" hierarchy="16" level="1">
      <sharedItems containsSemiMixedTypes="0" containsNonDate="0" containsString="0"/>
    </cacheField>
  </cacheFields>
  <cacheHierarchies count="19">
    <cacheHierarchy uniqueName="[Classes].[Classe ID]" caption="Classe ID" attribute="1" defaultMemberUniqueName="[Classes].[Classe ID].[All]" allUniqueName="[Classes].[Classe ID].[All]" dimensionUniqueName="[Classes]" displayFolder="" count="2" memberValueDatatype="130" unbalanced="0">
      <fieldsUsage count="2">
        <fieldUsage x="-1"/>
        <fieldUsage x="1"/>
      </fieldsUsage>
    </cacheHierarchy>
    <cacheHierarchy uniqueName="[Classes].[Prestation ID]" caption="Prestation ID" attribute="1" defaultMemberUniqueName="[Classes].[Prestation ID].[All]" allUniqueName="[Classes].[Prestation ID].[All]" dimensionUniqueName="[Classes]" displayFolder="" count="2" memberValueDatatype="130" unbalanced="0">
      <fieldsUsage count="2">
        <fieldUsage x="-1"/>
        <fieldUsage x="0"/>
      </fieldsUsage>
    </cacheHierarchy>
    <cacheHierarchy uniqueName="[Classes].[Nom du Prestataire]" caption="Nom du Prestataire" attribute="1" defaultMemberUniqueName="[Classes].[Nom du Prestataire].[All]" allUniqueName="[Classes].[Nom du Prestataire].[All]" dimensionUniqueName="[Classes]" displayFolder="" count="0" memberValueDatatype="130" unbalanced="0"/>
    <cacheHierarchy uniqueName="[Classes].[Nom du beneficiaire]" caption="Nom du beneficiaire" attribute="1" defaultMemberUniqueName="[Classes].[Nom du beneficiaire].[All]" allUniqueName="[Classes].[Nom du beneficiaire].[All]" dimensionUniqueName="[Classes]" displayFolder="" count="0" memberValueDatatype="130" unbalanced="0"/>
    <cacheHierarchy uniqueName="[Classes].[Cohorte]" caption="Cohorte" attribute="1" defaultMemberUniqueName="[Classes].[Cohorte].[All]" allUniqueName="[Classes].[Cohorte].[All]" dimensionUniqueName="[Classes]" displayFolder="" count="0" memberValueDatatype="20" unbalanced="0"/>
    <cacheHierarchy uniqueName="[Classes].[Nb personnes]" caption="Nb personnes" attribute="1" defaultMemberUniqueName="[Classes].[Nb personnes].[All]" allUniqueName="[Classes].[Nb personnes].[All]" dimensionUniqueName="[Classes]" displayFolder="" count="0" memberValueDatatype="20" unbalanced="0"/>
    <cacheHierarchy uniqueName="[Classes].[Region]" caption="Region" attribute="1" defaultMemberUniqueName="[Classes].[Region].[All]" allUniqueName="[Classes].[Region].[All]" dimensionUniqueName="[Classes]" displayFolder="" count="0" memberValueDatatype="130" unbalanced="0"/>
    <cacheHierarchy uniqueName="[Classes].[Statut de la prestation]" caption="Statut de la prestation" attribute="1" defaultMemberUniqueName="[Classes].[Statut de la prestation].[All]" allUniqueName="[Classes].[Statut de la prestation].[All]" dimensionUniqueName="[Classes]" displayFolder="" count="0" memberValueDatatype="130" unbalanced="0"/>
    <cacheHierarchy uniqueName="[Classes].[Unique]" caption="Unique" attribute="1" defaultMemberUniqueName="[Classes].[Unique].[All]" allUniqueName="[Classes].[Unique].[All]" dimensionUniqueName="[Classes]" displayFolder="" count="0" memberValueDatatype="130" unbalanced="0"/>
    <cacheHierarchy uniqueName="[Classes].[Lieux]" caption="Lieux" attribute="1" defaultMemberUniqueName="[Classes].[Lieux].[All]" allUniqueName="[Classes].[Lieux].[All]" dimensionUniqueName="[Classes]" displayFolder="" count="0" memberValueDatatype="130" unbalanced="0"/>
    <cacheHierarchy uniqueName="[Classes].[Ville]" caption="Ville" attribute="1" defaultMemberUniqueName="[Classes].[Ville].[All]" allUniqueName="[Classes].[Ville].[All]" dimensionUniqueName="[Classes]" displayFolder="" count="0" memberValueDatatype="130" unbalanced="0"/>
    <cacheHierarchy uniqueName="[Classes].[FORMATION]" caption="FORMATION" attribute="1" defaultMemberUniqueName="[Classes].[FORMATION].[All]" allUniqueName="[Classes].[FORMATION].[All]" dimensionUniqueName="[Classes]" displayFolder="" count="0" memberValueDatatype="130" unbalanced="0"/>
    <cacheHierarchy uniqueName="[Classes].[Nbre de femme]" caption="Nbre de femme" attribute="1" defaultMemberUniqueName="[Classes].[Nbre de femme].[All]" allUniqueName="[Classes].[Nbre de femme].[All]" dimensionUniqueName="[Classes]" displayFolder="" count="0" memberValueDatatype="20" unbalanced="0"/>
    <cacheHierarchy uniqueName="[Classes].[Nombre d'hommes]" caption="Nombre d'hommes" attribute="1" defaultMemberUniqueName="[Classes].[Nombre d'hommes].[All]" allUniqueName="[Classes].[Nombre d'hommes].[All]" dimensionUniqueName="[Classes]" displayFolder="" count="0" memberValueDatatype="20" unbalanced="0"/>
    <cacheHierarchy uniqueName="[Classes].[Prestataire Nom Simplifié]" caption="Prestataire Nom Simplifié" attribute="1" defaultMemberUniqueName="[Classes].[Prestataire Nom Simplifié].[All]" allUniqueName="[Classes].[Prestataire Nom Simplifié].[All]" dimensionUniqueName="[Classes]" displayFolder="" count="0" memberValueDatatype="130" unbalanced="0"/>
    <cacheHierarchy uniqueName="[Classes].[Beneficiare Nom Simplifié]" caption="Beneficiare Nom Simplifié" attribute="1" defaultMemberUniqueName="[Classes].[Beneficiare Nom Simplifié].[All]" allUniqueName="[Classes].[Beneficiare Nom Simplifié].[All]" dimensionUniqueName="[Classes]" displayFolder="" count="0" memberValueDatatype="130" unbalanced="0"/>
    <cacheHierarchy uniqueName="[Classes].[Total classe de la prestation termine]" caption="Total classe de la prestation termine" attribute="1" defaultMemberUniqueName="[Classes].[Total classe de la prestation termine].[All]" allUniqueName="[Classes].[Total classe de la prestation termine].[All]" dimensionUniqueName="[Classes]" displayFolder="" count="2" memberValueDatatype="11" unbalanced="0">
      <fieldsUsage count="2">
        <fieldUsage x="-1"/>
        <fieldUsage x="2"/>
      </fieldsUsage>
    </cacheHierarchy>
    <cacheHierarchy uniqueName="[Measures].[__XL_Count Classes]" caption="__XL_Count Classes" measure="1" displayFolder="" measureGroup="Classes" count="0" hidden="1"/>
    <cacheHierarchy uniqueName="[Measures].[__No measures defined]" caption="__No measures defined" measure="1" displayFolder="" count="0" hidden="1"/>
  </cacheHierarchies>
  <kpis count="0"/>
  <dimensions count="2">
    <dimension name="Classes" uniqueName="[Classes]" caption="Classes"/>
    <dimension measure="1" name="Measures" uniqueName="[Measures]" caption="Measures"/>
  </dimensions>
  <measureGroups count="1">
    <measureGroup name="Classes" caption="Classe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ltra Tech" refreshedDate="46114.477712499996" backgroundQuery="1" createdVersion="8" refreshedVersion="8" minRefreshableVersion="3" recordCount="0" supportSubquery="1" supportAdvancedDrill="1" xr:uid="{235EC3B1-0F3F-4770-8249-8AD286D8800D}">
  <cacheSource type="external" connectionId="4"/>
  <cacheFields count="3">
    <cacheField name="[Classes].[Prestation ID].[Prestation ID]" caption="Prestation ID" numFmtId="0" hierarchy="1" level="1">
      <sharedItems count="75">
        <s v="PRESTA001"/>
        <s v="PRESTA003"/>
        <s v="PRESTA008"/>
        <s v="PRESTA010"/>
        <s v="PRESTA012"/>
        <s v="PRESTA017"/>
        <s v="PRESTA018"/>
        <s v="PRESTA019"/>
        <s v="PRESTA022"/>
        <s v="PRESTA023"/>
        <s v="PRESTA024"/>
        <s v="PRESTA027"/>
        <s v="PRESTA028"/>
        <s v="PRESTA029"/>
        <s v="PRESTA032"/>
        <s v="PRESTA036"/>
        <s v="PRESTA038"/>
        <s v="PRESTA039"/>
        <s v="PRESTA044"/>
        <s v="PRESTA045"/>
        <s v="PRESTA046"/>
        <s v="PRESTA047"/>
        <s v="PRESTA049"/>
        <s v="PRESTA050"/>
        <s v="PRESTA051"/>
        <s v="PRESTA054"/>
        <s v="PRESTA058"/>
        <s v="PRESTA063"/>
        <s v="PRESTA064"/>
        <s v="PRESTA066"/>
        <s v="PRESTA071"/>
        <s v="PRESTA075"/>
        <s v="PRESTA079"/>
        <s v="PRESTA082"/>
        <s v="PRESTA083"/>
        <s v="PRESTA085"/>
        <s v="PRESTA086"/>
        <s v="PRESTA087"/>
        <s v="PRESTA099"/>
        <s v="PRESTA104"/>
        <s v="PRESTA106"/>
        <s v="PRESTA113"/>
        <s v="PRESTA118"/>
        <s v="PRESTA119"/>
        <s v="PRESTA121"/>
        <s v="PRESTA125"/>
        <s v="PRESTA126"/>
        <s v="PRESTA128"/>
        <s v="PRESTA129"/>
        <s v="PRESTA131"/>
        <s v="PRESTA132"/>
        <s v="PRESTA133"/>
        <s v="PRESTA134"/>
        <s v="PRESTA136"/>
        <s v="PRESTA138"/>
        <s v="PRESTA140"/>
        <s v="PRESTA143"/>
        <s v="PRESTA144"/>
        <s v="PRESTA145"/>
        <s v="PRESTA146"/>
        <s v="PRESTA147"/>
        <s v="PRESTA149"/>
        <s v="PRESTA151"/>
        <s v="PRESTA153"/>
        <s v="PRESTA154"/>
        <s v="PRESTA158"/>
        <s v="PRESTA159"/>
        <s v="PRESTA163"/>
        <s v="PRESTA164"/>
        <s v="PRESTA165"/>
        <s v="PRESTA166"/>
        <s v="PRESTA168"/>
        <s v="PRESTA170"/>
        <s v="PRESTA172"/>
        <s v="PRESTA173"/>
      </sharedItems>
    </cacheField>
    <cacheField name="[Classes].[Classe ID].[Classe ID]" caption="Classe ID" numFmtId="0" level="1">
      <sharedItems count="226">
        <s v="CLA037"/>
        <s v="CLA014"/>
        <s v="CLA049"/>
        <s v="CLA050"/>
        <s v="CLA051"/>
        <s v="CLA052"/>
        <s v="CLA053"/>
        <s v="CLA092"/>
        <s v="CLA093"/>
        <s v="CLA094"/>
        <s v="CLA095"/>
        <s v="CLA096"/>
        <s v="CLA097"/>
        <s v="CLA098"/>
        <s v="CLA099"/>
        <s v="CLA100"/>
        <s v="CLA101"/>
        <s v="CLA102"/>
        <s v="CLA103"/>
        <s v="CLA104"/>
        <s v="CLA105"/>
        <s v="CLA106"/>
        <s v="CLA021"/>
        <s v="CLA158"/>
        <s v="CLA110"/>
        <s v="CLA111"/>
        <s v="CLA112"/>
        <s v="CLA113"/>
        <s v="CLA114"/>
        <s v="CLA115"/>
        <s v="CLA116"/>
        <s v="CLA117"/>
        <s v="CLA118"/>
        <s v="CLA119"/>
        <s v="CLA120"/>
        <s v="CLA121"/>
        <s v="CLA122"/>
        <s v="CLA123"/>
        <s v="CLA124"/>
        <s v="CLA227"/>
        <s v="CLA228"/>
        <s v="CLA229"/>
        <s v="CLA230"/>
        <s v="CLA231"/>
        <s v="CLA232"/>
        <s v="CLA233"/>
        <s v="CLA234"/>
        <s v="CLA235"/>
        <s v="CLA236"/>
        <s v="CLA237"/>
        <s v="CLA238"/>
        <s v="CLA239"/>
        <s v="CLA240"/>
        <s v="CLA241"/>
        <s v="CLA242"/>
        <s v="CLA186"/>
        <s v="CLA187"/>
        <s v="CLA128"/>
        <s v="CLA176"/>
        <s v="CLA177"/>
        <s v="CLA210"/>
        <s v="CLA188"/>
        <s v="CLA189"/>
        <s v="CLA178"/>
        <s v="CLA179"/>
        <s v="CLA149"/>
        <s v="CLA150"/>
        <s v="CLA151"/>
        <s v="CLA152"/>
        <s v="CLA153"/>
        <s v="CLA154"/>
        <s v="CLA155"/>
        <s v="CLA156"/>
        <s v="CLA157"/>
        <s v="CLA175"/>
        <s v="CLA192"/>
        <s v="CLA193"/>
        <s v="CLA243"/>
        <s v="CLA244"/>
        <s v="CLA245"/>
        <s v="CLA246"/>
        <s v="CLA247"/>
        <s v="CLA029"/>
        <s v="CLA030"/>
        <s v="CLA031"/>
        <s v="CLA032"/>
        <s v="CLA182"/>
        <s v="CLA169"/>
        <s v="CLA183"/>
        <s v="CLA184"/>
        <s v="CLA185"/>
        <s v="CLA223"/>
        <s v="CLA224"/>
        <s v="CLA016"/>
        <s v="CLA017"/>
        <s v="CLA018"/>
        <s v="CLA019"/>
        <s v="CLA020"/>
        <s v="CLA025"/>
        <s v="CLA027"/>
        <s v="CLA033"/>
        <s v="CLA034"/>
        <s v="CLA137"/>
        <s v="CLA138"/>
        <s v="CLA211"/>
        <s v="CLA212"/>
        <s v="CLA213"/>
        <s v="CLA214"/>
        <s v="CLA215"/>
        <s v="CLA039"/>
        <s v="CLA171"/>
        <s v="CLA172"/>
        <s v="CLA173"/>
        <s v="CLA015"/>
        <s v="CLA190"/>
        <s v="CLA077"/>
        <s v="CLA078"/>
        <s v="CLA079"/>
        <s v="CLA174"/>
        <s v="CLA217"/>
        <s v="CLA218"/>
        <s v="CLA219"/>
        <s v="CLA057"/>
        <s v="CLA058"/>
        <s v="CLA059"/>
        <s v="CLA060"/>
        <s v="CLA061"/>
        <s v="CLA062"/>
        <s v="CLA063"/>
        <s v="CLA064"/>
        <s v="CLA065"/>
        <s v="CLA066"/>
        <s v="CLA067"/>
        <s v="CLA068"/>
        <s v="CLA069"/>
        <s v="CLA070"/>
        <s v="CLA071"/>
        <s v="CLA072"/>
        <s v="CLA073"/>
        <s v="CLA074"/>
        <s v="CLA075"/>
        <s v="CLA076"/>
        <s v="CLA191"/>
        <s v="CLA127"/>
        <s v="CLA088"/>
        <s v="CLA089"/>
        <s v="CLA090"/>
        <s v="CLA091"/>
        <s v="CLA013"/>
        <s v="CLA258"/>
        <s v="CLA259"/>
        <s v="CLA260"/>
        <s v="CLA261"/>
        <s v="CLA216"/>
        <s v="CLA046"/>
        <s v="CLA047"/>
        <s v="CLA048"/>
        <s v="CLA139"/>
        <s v="CLA140"/>
        <s v="CLA141"/>
        <s v="CLA142"/>
        <s v="CLA143"/>
        <s v="CLA144"/>
        <s v="CLA145"/>
        <s v="CLA146"/>
        <s v="CLA147"/>
        <s v="CLA148"/>
        <s v="CLA170"/>
        <s v="CLA199"/>
        <s v="CLA129"/>
        <s v="CLA196"/>
        <s v="CLA197"/>
        <s v="CLA198"/>
        <s v="CLA042"/>
        <s v="CLA043"/>
        <s v="CLA044"/>
        <s v="CLA045"/>
        <s v="CLA084"/>
        <s v="CLA085"/>
        <s v="CLA086"/>
        <s v="CLA087"/>
        <s v="CLA250"/>
        <s v="CLA036"/>
        <s v="CLA181"/>
        <s v="CLA248"/>
        <s v="CLA035"/>
        <s v="CLA226"/>
        <s v="CLA080"/>
        <s v="CLA081"/>
        <s v="CLA082"/>
        <s v="CLA083"/>
        <s v="CLA249"/>
        <s v="CLA028"/>
        <s v="CLA054"/>
        <s v="CLA056"/>
        <s v="CLA225"/>
        <s v="CLA222"/>
        <s v="CLA221"/>
        <s v="CLA055"/>
        <s v="CLA022"/>
        <s v="CLA023"/>
        <s v="CLA038"/>
        <s v="CLA126"/>
        <s v="CLA194"/>
        <s v="CLA195"/>
        <s v="CLA012"/>
        <s v="CLA130"/>
        <s v="CLA300"/>
        <s v="CLA301"/>
        <s v="CLA200"/>
        <s v="CLA131"/>
        <s v="CLA132"/>
        <s v="CLA133"/>
        <s v="CLA134"/>
        <s v="CLA135"/>
        <s v="CLA136"/>
        <s v="CLA180"/>
        <s v="CLA011"/>
        <s v="CLA107"/>
        <s v="CLA108"/>
        <s v="CLA109"/>
        <s v="CLA024"/>
        <s v="CLA125"/>
        <s v="CLA040"/>
        <s v="CLA041"/>
        <s v="CLA026"/>
      </sharedItems>
    </cacheField>
    <cacheField name="[Classes].[Total classe de la prestation termine].[Total classe de la prestation termine]" caption="Total classe de la prestation termine" numFmtId="0" hierarchy="16" level="1">
      <sharedItems containsSemiMixedTypes="0" containsNonDate="0" containsString="0"/>
    </cacheField>
  </cacheFields>
  <cacheHierarchies count="19">
    <cacheHierarchy uniqueName="[Classes].[Classe ID]" caption="Classe ID" attribute="1" defaultMemberUniqueName="[Classes].[Classe ID].[All]" allUniqueName="[Classes].[Classe ID].[All]" dimensionUniqueName="[Classes]" displayFolder="" count="2" memberValueDatatype="130" unbalanced="0">
      <fieldsUsage count="2">
        <fieldUsage x="-1"/>
        <fieldUsage x="1"/>
      </fieldsUsage>
    </cacheHierarchy>
    <cacheHierarchy uniqueName="[Classes].[Prestation ID]" caption="Prestation ID" attribute="1" defaultMemberUniqueName="[Classes].[Prestation ID].[All]" allUniqueName="[Classes].[Prestation ID].[All]" dimensionUniqueName="[Classes]" displayFolder="" count="2" memberValueDatatype="130" unbalanced="0">
      <fieldsUsage count="2">
        <fieldUsage x="-1"/>
        <fieldUsage x="0"/>
      </fieldsUsage>
    </cacheHierarchy>
    <cacheHierarchy uniqueName="[Classes].[Nom du Prestataire]" caption="Nom du Prestataire" attribute="1" defaultMemberUniqueName="[Classes].[Nom du Prestataire].[All]" allUniqueName="[Classes].[Nom du Prestataire].[All]" dimensionUniqueName="[Classes]" displayFolder="" count="0" memberValueDatatype="130" unbalanced="0"/>
    <cacheHierarchy uniqueName="[Classes].[Nom du beneficiaire]" caption="Nom du beneficiaire" attribute="1" defaultMemberUniqueName="[Classes].[Nom du beneficiaire].[All]" allUniqueName="[Classes].[Nom du beneficiaire].[All]" dimensionUniqueName="[Classes]" displayFolder="" count="0" memberValueDatatype="130" unbalanced="0"/>
    <cacheHierarchy uniqueName="[Classes].[Cohorte]" caption="Cohorte" attribute="1" defaultMemberUniqueName="[Classes].[Cohorte].[All]" allUniqueName="[Classes].[Cohorte].[All]" dimensionUniqueName="[Classes]" displayFolder="" count="0" memberValueDatatype="20" unbalanced="0"/>
    <cacheHierarchy uniqueName="[Classes].[Nb personnes]" caption="Nb personnes" attribute="1" defaultMemberUniqueName="[Classes].[Nb personnes].[All]" allUniqueName="[Classes].[Nb personnes].[All]" dimensionUniqueName="[Classes]" displayFolder="" count="0" memberValueDatatype="20" unbalanced="0"/>
    <cacheHierarchy uniqueName="[Classes].[Region]" caption="Region" attribute="1" defaultMemberUniqueName="[Classes].[Region].[All]" allUniqueName="[Classes].[Region].[All]" dimensionUniqueName="[Classes]" displayFolder="" count="0" memberValueDatatype="130" unbalanced="0"/>
    <cacheHierarchy uniqueName="[Classes].[Statut de la prestation]" caption="Statut de la prestation" attribute="1" defaultMemberUniqueName="[Classes].[Statut de la prestation].[All]" allUniqueName="[Classes].[Statut de la prestation].[All]" dimensionUniqueName="[Classes]" displayFolder="" count="0" memberValueDatatype="130" unbalanced="0"/>
    <cacheHierarchy uniqueName="[Classes].[Unique]" caption="Unique" attribute="1" defaultMemberUniqueName="[Classes].[Unique].[All]" allUniqueName="[Classes].[Unique].[All]" dimensionUniqueName="[Classes]" displayFolder="" count="0" memberValueDatatype="130" unbalanced="0"/>
    <cacheHierarchy uniqueName="[Classes].[Lieux]" caption="Lieux" attribute="1" defaultMemberUniqueName="[Classes].[Lieux].[All]" allUniqueName="[Classes].[Lieux].[All]" dimensionUniqueName="[Classes]" displayFolder="" count="0" memberValueDatatype="130" unbalanced="0"/>
    <cacheHierarchy uniqueName="[Classes].[Ville]" caption="Ville" attribute="1" defaultMemberUniqueName="[Classes].[Ville].[All]" allUniqueName="[Classes].[Ville].[All]" dimensionUniqueName="[Classes]" displayFolder="" count="0" memberValueDatatype="130" unbalanced="0"/>
    <cacheHierarchy uniqueName="[Classes].[FORMATION]" caption="FORMATION" attribute="1" defaultMemberUniqueName="[Classes].[FORMATION].[All]" allUniqueName="[Classes].[FORMATION].[All]" dimensionUniqueName="[Classes]" displayFolder="" count="0" memberValueDatatype="130" unbalanced="0"/>
    <cacheHierarchy uniqueName="[Classes].[Nbre de femme]" caption="Nbre de femme" attribute="1" defaultMemberUniqueName="[Classes].[Nbre de femme].[All]" allUniqueName="[Classes].[Nbre de femme].[All]" dimensionUniqueName="[Classes]" displayFolder="" count="0" memberValueDatatype="20" unbalanced="0"/>
    <cacheHierarchy uniqueName="[Classes].[Nombre d'hommes]" caption="Nombre d'hommes" attribute="1" defaultMemberUniqueName="[Classes].[Nombre d'hommes].[All]" allUniqueName="[Classes].[Nombre d'hommes].[All]" dimensionUniqueName="[Classes]" displayFolder="" count="0" memberValueDatatype="20" unbalanced="0"/>
    <cacheHierarchy uniqueName="[Classes].[Prestataire Nom Simplifié]" caption="Prestataire Nom Simplifié" attribute="1" defaultMemberUniqueName="[Classes].[Prestataire Nom Simplifié].[All]" allUniqueName="[Classes].[Prestataire Nom Simplifié].[All]" dimensionUniqueName="[Classes]" displayFolder="" count="0" memberValueDatatype="130" unbalanced="0"/>
    <cacheHierarchy uniqueName="[Classes].[Beneficiare Nom Simplifié]" caption="Beneficiare Nom Simplifié" attribute="1" defaultMemberUniqueName="[Classes].[Beneficiare Nom Simplifié].[All]" allUniqueName="[Classes].[Beneficiare Nom Simplifié].[All]" dimensionUniqueName="[Classes]" displayFolder="" count="0" memberValueDatatype="130" unbalanced="0"/>
    <cacheHierarchy uniqueName="[Classes].[Total classe de la prestation termine]" caption="Total classe de la prestation termine" attribute="1" defaultMemberUniqueName="[Classes].[Total classe de la prestation termine].[All]" allUniqueName="[Classes].[Total classe de la prestation termine].[All]" dimensionUniqueName="[Classes]" displayFolder="" count="2" memberValueDatatype="11" unbalanced="0">
      <fieldsUsage count="2">
        <fieldUsage x="-1"/>
        <fieldUsage x="2"/>
      </fieldsUsage>
    </cacheHierarchy>
    <cacheHierarchy uniqueName="[Measures].[__XL_Count Classes]" caption="__XL_Count Classes" measure="1" displayFolder="" measureGroup="Classes" count="0" hidden="1"/>
    <cacheHierarchy uniqueName="[Measures].[__No measures defined]" caption="__No measures defined" measure="1" displayFolder="" count="0" hidden="1"/>
  </cacheHierarchies>
  <kpis count="0"/>
  <dimensions count="2">
    <dimension name="Classes" uniqueName="[Classes]" caption="Classes"/>
    <dimension measure="1" name="Measures" uniqueName="[Measures]" caption="Measures"/>
  </dimensions>
  <measureGroups count="1">
    <measureGroup name="Classes" caption="Classe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6B7165-3EC9-44C2-AF9E-2B8FE9B8E2F7}" name="Tableau croisé dynamique8" cacheId="2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8" indent="0" compact="0" compactData="0" multipleFieldFilters="0">
  <location ref="B3:C229" firstHeaderRow="1" firstDataRow="1" firstDataCol="2" rowPageCount="1" colPageCount="1"/>
  <pivotFields count="3">
    <pivotField axis="axisRow" compact="0" allDrilled="1" outline="0" showAll="0" dataSourceSort="1" defaultSubtotal="0" defaultAttributeDrillState="1">
      <items count="7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226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s="1" x="107"/>
        <item s="1" x="108"/>
        <item s="1" x="109"/>
        <item s="1" x="110"/>
        <item s="1" x="111"/>
        <item s="1" x="112"/>
        <item s="1" x="113"/>
        <item s="1" x="114"/>
        <item s="1" x="115"/>
        <item s="1" x="116"/>
        <item s="1" x="117"/>
        <item s="1" x="118"/>
        <item s="1" x="119"/>
        <item s="1" x="120"/>
        <item s="1" x="121"/>
        <item s="1" x="122"/>
        <item s="1" x="123"/>
        <item s="1" x="124"/>
        <item s="1" x="125"/>
        <item s="1" x="126"/>
        <item s="1" x="127"/>
        <item s="1" x="128"/>
        <item s="1" x="129"/>
        <item s="1" x="130"/>
        <item s="1" x="131"/>
        <item s="1" x="132"/>
        <item s="1" x="133"/>
        <item s="1" x="134"/>
        <item s="1" x="135"/>
        <item s="1" x="136"/>
        <item s="1" x="137"/>
        <item s="1" x="138"/>
        <item s="1" x="139"/>
        <item s="1" x="140"/>
        <item s="1" x="141"/>
        <item s="1" x="142"/>
        <item s="1" x="143"/>
        <item s="1" x="144"/>
        <item s="1" x="145"/>
        <item s="1" x="146"/>
        <item s="1" x="147"/>
        <item s="1" x="148"/>
        <item s="1" x="149"/>
        <item s="1" x="150"/>
        <item s="1" x="151"/>
        <item s="1" x="152"/>
        <item s="1" x="153"/>
        <item s="1" x="154"/>
        <item s="1" x="155"/>
        <item s="1" x="156"/>
        <item s="1" x="157"/>
        <item s="1" x="158"/>
        <item s="1" x="159"/>
        <item s="1" x="160"/>
        <item s="1" x="161"/>
        <item s="1" x="162"/>
        <item s="1" x="163"/>
        <item s="1" x="164"/>
        <item s="1" x="165"/>
        <item s="1" x="166"/>
        <item s="1" x="167"/>
        <item s="1" x="168"/>
        <item s="1" x="169"/>
        <item s="1" x="170"/>
        <item s="1" x="171"/>
        <item s="1" x="172"/>
        <item s="1" x="173"/>
        <item s="1" x="174"/>
        <item s="1" x="175"/>
        <item s="1" x="176"/>
        <item s="1" x="177"/>
        <item s="1" x="178"/>
        <item s="1" x="179"/>
        <item s="1" x="180"/>
        <item s="1" x="181"/>
        <item s="1" x="182"/>
        <item s="1" x="183"/>
        <item s="1" x="184"/>
        <item s="1" x="185"/>
        <item s="1" x="186"/>
        <item s="1" x="187"/>
        <item s="1" x="188"/>
        <item s="1" x="189"/>
        <item s="1" x="190"/>
        <item s="1" x="191"/>
        <item s="1" x="192"/>
        <item s="1" x="193"/>
        <item s="1" x="194"/>
        <item s="1" x="195"/>
        <item s="1" x="196"/>
        <item s="1" x="197"/>
        <item s="1" x="198"/>
        <item s="1" x="199"/>
        <item s="1" x="200"/>
        <item s="1" x="201"/>
        <item s="1" x="202"/>
        <item s="1" x="203"/>
        <item s="1" x="204"/>
        <item s="1" x="205"/>
        <item s="1" x="206"/>
        <item s="1" x="207"/>
        <item s="1" x="208"/>
        <item s="1" x="209"/>
        <item s="1" x="210"/>
        <item s="1" x="211"/>
        <item s="1" x="212"/>
        <item s="1" x="213"/>
        <item s="1" x="214"/>
        <item s="1" x="215"/>
        <item s="1" x="216"/>
        <item s="1" x="217"/>
        <item s="1" x="218"/>
        <item s="1" x="219"/>
        <item s="1" x="220"/>
        <item s="1" x="221"/>
        <item s="1" x="222"/>
        <item s="1" x="223"/>
        <item s="1" x="224"/>
        <item s="1" x="2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226">
    <i>
      <x/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>
      <x v="3"/>
      <x v="23"/>
    </i>
    <i>
      <x v="4"/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>
      <x v="5"/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6"/>
      <x v="55"/>
    </i>
    <i r="1">
      <x v="56"/>
    </i>
    <i>
      <x v="7"/>
      <x v="57"/>
    </i>
    <i>
      <x v="8"/>
      <x v="58"/>
    </i>
    <i r="1">
      <x v="59"/>
    </i>
    <i>
      <x v="9"/>
      <x v="60"/>
    </i>
    <i>
      <x v="10"/>
      <x v="61"/>
    </i>
    <i r="1">
      <x v="62"/>
    </i>
    <i>
      <x v="11"/>
      <x v="63"/>
    </i>
    <i r="1">
      <x v="64"/>
    </i>
    <i>
      <x v="12"/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>
      <x v="13"/>
      <x v="75"/>
    </i>
    <i r="1">
      <x v="76"/>
    </i>
    <i>
      <x v="14"/>
      <x v="77"/>
    </i>
    <i r="1">
      <x v="78"/>
    </i>
    <i r="1">
      <x v="79"/>
    </i>
    <i r="1">
      <x v="80"/>
    </i>
    <i r="1">
      <x v="81"/>
    </i>
    <i>
      <x v="15"/>
      <x v="82"/>
    </i>
    <i r="1">
      <x v="83"/>
    </i>
    <i r="1">
      <x v="84"/>
    </i>
    <i r="1">
      <x v="85"/>
    </i>
    <i>
      <x v="16"/>
      <x v="86"/>
    </i>
    <i>
      <x v="17"/>
      <x v="87"/>
    </i>
    <i>
      <x v="18"/>
      <x v="88"/>
    </i>
    <i r="1">
      <x v="89"/>
    </i>
    <i r="1">
      <x v="90"/>
    </i>
    <i>
      <x v="19"/>
      <x v="91"/>
    </i>
    <i r="1">
      <x v="92"/>
    </i>
    <i>
      <x v="20"/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21"/>
      <x v="104"/>
    </i>
    <i r="1">
      <x v="105"/>
    </i>
    <i r="1">
      <x v="106"/>
    </i>
    <i r="1">
      <x v="107"/>
    </i>
    <i r="1">
      <x v="108"/>
    </i>
    <i>
      <x v="22"/>
      <x v="109"/>
    </i>
    <i>
      <x v="23"/>
      <x v="110"/>
    </i>
    <i r="1">
      <x v="111"/>
    </i>
    <i r="1">
      <x v="112"/>
    </i>
    <i>
      <x v="24"/>
      <x v="113"/>
    </i>
    <i>
      <x v="25"/>
      <x v="114"/>
    </i>
    <i>
      <x v="26"/>
      <x v="115"/>
    </i>
    <i r="1">
      <x v="116"/>
    </i>
    <i r="1">
      <x v="117"/>
    </i>
    <i>
      <x v="27"/>
      <x v="118"/>
    </i>
    <i>
      <x v="28"/>
      <x v="119"/>
    </i>
    <i r="1">
      <x v="120"/>
    </i>
    <i r="1">
      <x v="121"/>
    </i>
    <i>
      <x v="29"/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>
      <x v="30"/>
      <x v="142"/>
    </i>
    <i>
      <x v="31"/>
      <x v="143"/>
    </i>
    <i>
      <x v="32"/>
      <x v="144"/>
    </i>
    <i r="1">
      <x v="145"/>
    </i>
    <i r="1">
      <x v="146"/>
    </i>
    <i r="1">
      <x v="147"/>
    </i>
    <i>
      <x v="33"/>
      <x v="148"/>
    </i>
    <i>
      <x v="34"/>
      <x v="149"/>
    </i>
    <i r="1">
      <x v="150"/>
    </i>
    <i r="1">
      <x v="151"/>
    </i>
    <i r="1">
      <x v="152"/>
    </i>
    <i>
      <x v="35"/>
      <x v="153"/>
    </i>
    <i>
      <x v="36"/>
      <x v="154"/>
    </i>
    <i r="1">
      <x v="155"/>
    </i>
    <i r="1">
      <x v="156"/>
    </i>
    <i>
      <x v="37"/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>
      <x v="38"/>
      <x v="167"/>
    </i>
    <i>
      <x v="39"/>
      <x v="168"/>
    </i>
    <i>
      <x v="40"/>
      <x v="169"/>
    </i>
    <i>
      <x v="41"/>
      <x v="170"/>
    </i>
    <i r="1">
      <x v="171"/>
    </i>
    <i r="1">
      <x v="172"/>
    </i>
    <i>
      <x v="42"/>
      <x v="173"/>
    </i>
    <i r="1">
      <x v="174"/>
    </i>
    <i r="1">
      <x v="175"/>
    </i>
    <i r="1">
      <x v="176"/>
    </i>
    <i>
      <x v="43"/>
      <x v="177"/>
    </i>
    <i r="1">
      <x v="178"/>
    </i>
    <i r="1">
      <x v="179"/>
    </i>
    <i r="1">
      <x v="180"/>
    </i>
    <i>
      <x v="44"/>
      <x v="181"/>
    </i>
    <i>
      <x v="45"/>
      <x v="182"/>
    </i>
    <i>
      <x v="46"/>
      <x v="183"/>
    </i>
    <i>
      <x v="47"/>
      <x v="184"/>
    </i>
    <i>
      <x v="48"/>
      <x v="185"/>
    </i>
    <i>
      <x v="49"/>
      <x v="186"/>
    </i>
    <i>
      <x v="50"/>
      <x v="187"/>
    </i>
    <i r="1">
      <x v="188"/>
    </i>
    <i r="1">
      <x v="189"/>
    </i>
    <i r="1">
      <x v="190"/>
    </i>
    <i>
      <x v="51"/>
      <x v="191"/>
    </i>
    <i>
      <x v="52"/>
      <x v="192"/>
    </i>
    <i>
      <x v="53"/>
      <x v="193"/>
    </i>
    <i>
      <x v="54"/>
      <x v="194"/>
    </i>
    <i>
      <x v="55"/>
      <x v="195"/>
    </i>
    <i>
      <x v="56"/>
      <x v="196"/>
    </i>
    <i>
      <x v="57"/>
      <x v="197"/>
    </i>
    <i>
      <x v="58"/>
      <x v="198"/>
    </i>
    <i>
      <x v="59"/>
      <x v="199"/>
    </i>
    <i r="1">
      <x v="200"/>
    </i>
    <i>
      <x v="60"/>
      <x v="201"/>
    </i>
    <i>
      <x v="61"/>
      <x v="202"/>
    </i>
    <i>
      <x v="62"/>
      <x v="203"/>
    </i>
    <i r="1">
      <x v="204"/>
    </i>
    <i>
      <x v="63"/>
      <x v="205"/>
    </i>
    <i>
      <x v="64"/>
      <x v="206"/>
    </i>
    <i>
      <x v="65"/>
      <x v="207"/>
    </i>
    <i r="1">
      <x v="208"/>
    </i>
    <i>
      <x v="66"/>
      <x v="209"/>
    </i>
    <i>
      <x v="67"/>
      <x v="210"/>
    </i>
    <i r="1">
      <x v="211"/>
    </i>
    <i r="1">
      <x v="212"/>
    </i>
    <i r="1">
      <x v="213"/>
    </i>
    <i r="1">
      <x v="214"/>
    </i>
    <i r="1">
      <x v="215"/>
    </i>
    <i>
      <x v="68"/>
      <x v="216"/>
    </i>
    <i>
      <x v="69"/>
      <x v="217"/>
    </i>
    <i>
      <x v="70"/>
      <x v="218"/>
    </i>
    <i r="1">
      <x v="219"/>
    </i>
    <i r="1">
      <x v="220"/>
    </i>
    <i>
      <x v="71"/>
      <x v="221"/>
    </i>
    <i>
      <x v="72"/>
      <x v="222"/>
    </i>
    <i>
      <x v="73"/>
      <x v="223"/>
    </i>
    <i r="1">
      <x v="224"/>
    </i>
    <i>
      <x v="74"/>
      <x v="225"/>
    </i>
  </rowItems>
  <pageFields count="1">
    <pageField fld="2" hier="16" name="[Classes].[Total classe de la prestation termine].&amp;[True]" cap="TRUE"/>
  </pageFields>
  <formats count="83">
    <format dxfId="0">
      <pivotArea field="0" type="button" dataOnly="0" labelOnly="1" outline="0" axis="axisRow" fieldPosition="0"/>
    </format>
    <format dxfId="1">
      <pivotArea field="1" type="button" dataOnly="0" labelOnly="1" outline="0" axis="axisRow" fieldPosition="1"/>
    </format>
    <format dxfId="2">
      <pivotArea field="0" type="button" dataOnly="0" labelOnly="1" outline="0" axis="axisRow" fieldPosition="0"/>
    </format>
    <format dxfId="3">
      <pivotArea field="1" type="button" dataOnly="0" labelOnly="1" outline="0" axis="axisRow" fieldPosition="1"/>
    </format>
    <format dxfId="4">
      <pivotArea field="0" type="button" dataOnly="0" labelOnly="1" outline="0" axis="axisRow" fieldPosition="0"/>
    </format>
    <format dxfId="5">
      <pivotArea field="1" type="button" dataOnly="0" labelOnly="1" outline="0" axis="axisRow" fieldPosition="1"/>
    </format>
    <format dxfId="6">
      <pivotArea dataOnly="0" labelOnly="1" outline="0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7">
      <pivotArea dataOnly="0" labelOnly="1" outline="0" fieldPosition="0">
        <references count="1">
          <reference field="0" count="25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</reference>
        </references>
      </pivotArea>
    </format>
    <format dxfId="8">
      <pivotArea dataOnly="0" labelOnly="1" outline="0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9">
      <pivotArea dataOnly="0" labelOnly="1" outline="0" fieldPosition="0">
        <references count="2">
          <reference field="0" count="1" selected="0">
            <x v="1"/>
          </reference>
          <reference field="1" count="21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0">
      <pivotArea dataOnly="0" labelOnly="1" outline="0" fieldPosition="0">
        <references count="2">
          <reference field="0" count="1" selected="0">
            <x v="2"/>
          </reference>
          <reference field="1" count="1">
            <x v="22"/>
          </reference>
        </references>
      </pivotArea>
    </format>
    <format dxfId="11">
      <pivotArea dataOnly="0" labelOnly="1" outline="0" fieldPosition="0">
        <references count="2">
          <reference field="0" count="1" selected="0">
            <x v="3"/>
          </reference>
          <reference field="1" count="1">
            <x v="23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4"/>
          </reference>
          <reference field="1" count="15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</references>
      </pivotArea>
    </format>
    <format dxfId="13">
      <pivotArea dataOnly="0" labelOnly="1" outline="0" fieldPosition="0">
        <references count="2">
          <reference field="0" count="1" selected="0">
            <x v="5"/>
          </reference>
          <reference field="1" count="16"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6"/>
          </reference>
          <reference field="1" count="2">
            <x v="55"/>
            <x v="56"/>
          </reference>
        </references>
      </pivotArea>
    </format>
    <format dxfId="15">
      <pivotArea dataOnly="0" labelOnly="1" outline="0" fieldPosition="0">
        <references count="2">
          <reference field="0" count="1" selected="0">
            <x v="7"/>
          </reference>
          <reference field="1" count="1">
            <x v="57"/>
          </reference>
        </references>
      </pivotArea>
    </format>
    <format dxfId="16">
      <pivotArea dataOnly="0" labelOnly="1" outline="0" fieldPosition="0">
        <references count="2">
          <reference field="0" count="1" selected="0">
            <x v="8"/>
          </reference>
          <reference field="1" count="2">
            <x v="58"/>
            <x v="59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9"/>
          </reference>
          <reference field="1" count="1">
            <x v="60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10"/>
          </reference>
          <reference field="1" count="2">
            <x v="61"/>
            <x v="62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11"/>
          </reference>
          <reference field="1" count="2">
            <x v="63"/>
            <x v="64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12"/>
          </reference>
          <reference field="1" count="10">
            <x v="65"/>
            <x v="66"/>
            <x v="67"/>
            <x v="68"/>
            <x v="69"/>
            <x v="70"/>
            <x v="71"/>
            <x v="72"/>
            <x v="73"/>
            <x v="74"/>
          </reference>
        </references>
      </pivotArea>
    </format>
    <format dxfId="21">
      <pivotArea dataOnly="0" labelOnly="1" outline="0" fieldPosition="0">
        <references count="2">
          <reference field="0" count="1" selected="0">
            <x v="13"/>
          </reference>
          <reference field="1" count="2">
            <x v="75"/>
            <x v="76"/>
          </reference>
        </references>
      </pivotArea>
    </format>
    <format dxfId="22">
      <pivotArea dataOnly="0" labelOnly="1" outline="0" fieldPosition="0">
        <references count="2">
          <reference field="0" count="1" selected="0">
            <x v="14"/>
          </reference>
          <reference field="1" count="5">
            <x v="77"/>
            <x v="78"/>
            <x v="79"/>
            <x v="80"/>
            <x v="81"/>
          </reference>
        </references>
      </pivotArea>
    </format>
    <format dxfId="23">
      <pivotArea dataOnly="0" labelOnly="1" outline="0" fieldPosition="0">
        <references count="2">
          <reference field="0" count="1" selected="0">
            <x v="15"/>
          </reference>
          <reference field="1" count="4">
            <x v="82"/>
            <x v="83"/>
            <x v="84"/>
            <x v="85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16"/>
          </reference>
          <reference field="1" count="1">
            <x v="86"/>
          </reference>
        </references>
      </pivotArea>
    </format>
    <format dxfId="25">
      <pivotArea dataOnly="0" labelOnly="1" outline="0" fieldPosition="0">
        <references count="2">
          <reference field="0" count="1" selected="0">
            <x v="17"/>
          </reference>
          <reference field="1" count="1">
            <x v="87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18"/>
          </reference>
          <reference field="1" count="3">
            <x v="88"/>
            <x v="89"/>
            <x v="90"/>
          </reference>
        </references>
      </pivotArea>
    </format>
    <format dxfId="27">
      <pivotArea dataOnly="0" labelOnly="1" outline="0" fieldPosition="0">
        <references count="2">
          <reference field="0" count="1" selected="0">
            <x v="19"/>
          </reference>
          <reference field="1" count="2">
            <x v="91"/>
            <x v="92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20"/>
          </reference>
          <reference field="1" count="11"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</reference>
        </references>
      </pivotArea>
    </format>
    <format dxfId="29">
      <pivotArea dataOnly="0" labelOnly="1" outline="0" fieldPosition="0">
        <references count="2">
          <reference field="0" count="1" selected="0">
            <x v="21"/>
          </reference>
          <reference field="1" count="5">
            <x v="104"/>
            <x v="105"/>
            <x v="106"/>
            <x v="107"/>
            <x v="108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22"/>
          </reference>
          <reference field="1" count="1">
            <x v="109"/>
          </reference>
        </references>
      </pivotArea>
    </format>
    <format dxfId="31">
      <pivotArea dataOnly="0" labelOnly="1" outline="0" fieldPosition="0">
        <references count="2">
          <reference field="0" count="1" selected="0">
            <x v="23"/>
          </reference>
          <reference field="1" count="3">
            <x v="110"/>
            <x v="111"/>
            <x v="112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24"/>
          </reference>
          <reference field="1" count="1">
            <x v="113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25"/>
          </reference>
          <reference field="1" count="1">
            <x v="114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26"/>
          </reference>
          <reference field="1" count="3">
            <x v="115"/>
            <x v="116"/>
            <x v="117"/>
          </reference>
        </references>
      </pivotArea>
    </format>
    <format dxfId="35">
      <pivotArea dataOnly="0" labelOnly="1" outline="0" fieldPosition="0">
        <references count="2">
          <reference field="0" count="1" selected="0">
            <x v="27"/>
          </reference>
          <reference field="1" count="1">
            <x v="118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28"/>
          </reference>
          <reference field="1" count="3">
            <x v="119"/>
            <x v="120"/>
            <x v="121"/>
          </reference>
        </references>
      </pivotArea>
    </format>
    <format dxfId="37">
      <pivotArea dataOnly="0" labelOnly="1" outline="0" fieldPosition="0">
        <references count="2">
          <reference field="0" count="1" selected="0">
            <x v="29"/>
          </reference>
          <reference field="1" count="20"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</reference>
        </references>
      </pivotArea>
    </format>
    <format dxfId="38">
      <pivotArea dataOnly="0" labelOnly="1" outline="0" fieldPosition="0">
        <references count="2">
          <reference field="0" count="1" selected="0">
            <x v="30"/>
          </reference>
          <reference field="1" count="1">
            <x v="142"/>
          </reference>
        </references>
      </pivotArea>
    </format>
    <format dxfId="39">
      <pivotArea dataOnly="0" labelOnly="1" outline="0" fieldPosition="0">
        <references count="2">
          <reference field="0" count="1" selected="0">
            <x v="31"/>
          </reference>
          <reference field="1" count="1">
            <x v="143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32"/>
          </reference>
          <reference field="1" count="4">
            <x v="144"/>
            <x v="145"/>
            <x v="146"/>
            <x v="147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33"/>
          </reference>
          <reference field="1" count="1">
            <x v="148"/>
          </reference>
        </references>
      </pivotArea>
    </format>
    <format dxfId="42">
      <pivotArea dataOnly="0" labelOnly="1" outline="0" fieldPosition="0">
        <references count="2">
          <reference field="0" count="1" selected="0">
            <x v="34"/>
          </reference>
          <reference field="1" count="4">
            <x v="149"/>
            <x v="150"/>
            <x v="151"/>
            <x v="152"/>
          </reference>
        </references>
      </pivotArea>
    </format>
    <format dxfId="43">
      <pivotArea dataOnly="0" labelOnly="1" outline="0" fieldPosition="0">
        <references count="2">
          <reference field="0" count="1" selected="0">
            <x v="35"/>
          </reference>
          <reference field="1" count="1">
            <x v="153"/>
          </reference>
        </references>
      </pivotArea>
    </format>
    <format dxfId="44">
      <pivotArea dataOnly="0" labelOnly="1" outline="0" fieldPosition="0">
        <references count="2">
          <reference field="0" count="1" selected="0">
            <x v="36"/>
          </reference>
          <reference field="1" count="3">
            <x v="154"/>
            <x v="155"/>
            <x v="156"/>
          </reference>
        </references>
      </pivotArea>
    </format>
    <format dxfId="45">
      <pivotArea dataOnly="0" labelOnly="1" outline="0" fieldPosition="0">
        <references count="2">
          <reference field="0" count="1" selected="0">
            <x v="37"/>
          </reference>
          <reference field="1" count="10">
            <x v="157"/>
            <x v="158"/>
            <x v="159"/>
            <x v="160"/>
            <x v="161"/>
            <x v="162"/>
            <x v="163"/>
            <x v="164"/>
            <x v="165"/>
            <x v="166"/>
          </reference>
        </references>
      </pivotArea>
    </format>
    <format dxfId="46">
      <pivotArea dataOnly="0" labelOnly="1" outline="0" fieldPosition="0">
        <references count="2">
          <reference field="0" count="1" selected="0">
            <x v="38"/>
          </reference>
          <reference field="1" count="1">
            <x v="167"/>
          </reference>
        </references>
      </pivotArea>
    </format>
    <format dxfId="47">
      <pivotArea dataOnly="0" labelOnly="1" outline="0" fieldPosition="0">
        <references count="2">
          <reference field="0" count="1" selected="0">
            <x v="39"/>
          </reference>
          <reference field="1" count="1">
            <x v="168"/>
          </reference>
        </references>
      </pivotArea>
    </format>
    <format dxfId="48">
      <pivotArea dataOnly="0" labelOnly="1" outline="0" fieldPosition="0">
        <references count="2">
          <reference field="0" count="1" selected="0">
            <x v="40"/>
          </reference>
          <reference field="1" count="1">
            <x v="169"/>
          </reference>
        </references>
      </pivotArea>
    </format>
    <format dxfId="49">
      <pivotArea dataOnly="0" labelOnly="1" outline="0" fieldPosition="0">
        <references count="2">
          <reference field="0" count="1" selected="0">
            <x v="41"/>
          </reference>
          <reference field="1" count="3">
            <x v="170"/>
            <x v="171"/>
            <x v="172"/>
          </reference>
        </references>
      </pivotArea>
    </format>
    <format dxfId="50">
      <pivotArea dataOnly="0" labelOnly="1" outline="0" fieldPosition="0">
        <references count="2">
          <reference field="0" count="1" selected="0">
            <x v="42"/>
          </reference>
          <reference field="1" count="4">
            <x v="173"/>
            <x v="174"/>
            <x v="175"/>
            <x v="176"/>
          </reference>
        </references>
      </pivotArea>
    </format>
    <format dxfId="51">
      <pivotArea dataOnly="0" labelOnly="1" outline="0" fieldPosition="0">
        <references count="2">
          <reference field="0" count="1" selected="0">
            <x v="43"/>
          </reference>
          <reference field="1" count="4">
            <x v="177"/>
            <x v="178"/>
            <x v="179"/>
            <x v="180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44"/>
          </reference>
          <reference field="1" count="1">
            <x v="181"/>
          </reference>
        </references>
      </pivotArea>
    </format>
    <format dxfId="53">
      <pivotArea dataOnly="0" labelOnly="1" outline="0" fieldPosition="0">
        <references count="2">
          <reference field="0" count="1" selected="0">
            <x v="45"/>
          </reference>
          <reference field="1" count="1">
            <x v="182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46"/>
          </reference>
          <reference field="1" count="1">
            <x v="183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47"/>
          </reference>
          <reference field="1" count="1">
            <x v="184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48"/>
          </reference>
          <reference field="1" count="1">
            <x v="185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49"/>
          </reference>
          <reference field="1" count="1">
            <x v="186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50"/>
          </reference>
          <reference field="1" count="4">
            <x v="187"/>
            <x v="188"/>
            <x v="189"/>
            <x v="190"/>
          </reference>
        </references>
      </pivotArea>
    </format>
    <format dxfId="59">
      <pivotArea dataOnly="0" labelOnly="1" outline="0" fieldPosition="0">
        <references count="2">
          <reference field="0" count="1" selected="0">
            <x v="51"/>
          </reference>
          <reference field="1" count="1">
            <x v="191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52"/>
          </reference>
          <reference field="1" count="1">
            <x v="192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53"/>
          </reference>
          <reference field="1" count="1">
            <x v="193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54"/>
          </reference>
          <reference field="1" count="1">
            <x v="194"/>
          </reference>
        </references>
      </pivotArea>
    </format>
    <format dxfId="63">
      <pivotArea dataOnly="0" labelOnly="1" outline="0" fieldPosition="0">
        <references count="2">
          <reference field="0" count="1" selected="0">
            <x v="55"/>
          </reference>
          <reference field="1" count="1">
            <x v="195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56"/>
          </reference>
          <reference field="1" count="1">
            <x v="196"/>
          </reference>
        </references>
      </pivotArea>
    </format>
    <format dxfId="65">
      <pivotArea dataOnly="0" labelOnly="1" outline="0" fieldPosition="0">
        <references count="2">
          <reference field="0" count="1" selected="0">
            <x v="57"/>
          </reference>
          <reference field="1" count="1">
            <x v="197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58"/>
          </reference>
          <reference field="1" count="1">
            <x v="198"/>
          </reference>
        </references>
      </pivotArea>
    </format>
    <format dxfId="67">
      <pivotArea dataOnly="0" labelOnly="1" outline="0" fieldPosition="0">
        <references count="2">
          <reference field="0" count="1" selected="0">
            <x v="59"/>
          </reference>
          <reference field="1" count="2">
            <x v="199"/>
            <x v="200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60"/>
          </reference>
          <reference field="1" count="1">
            <x v="201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61"/>
          </reference>
          <reference field="1" count="1">
            <x v="202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62"/>
          </reference>
          <reference field="1" count="2">
            <x v="203"/>
            <x v="204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63"/>
          </reference>
          <reference field="1" count="1">
            <x v="205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64"/>
          </reference>
          <reference field="1" count="1">
            <x v="206"/>
          </reference>
        </references>
      </pivotArea>
    </format>
    <format dxfId="73">
      <pivotArea dataOnly="0" labelOnly="1" outline="0" fieldPosition="0">
        <references count="2">
          <reference field="0" count="1" selected="0">
            <x v="65"/>
          </reference>
          <reference field="1" count="2">
            <x v="207"/>
            <x v="208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66"/>
          </reference>
          <reference field="1" count="1">
            <x v="209"/>
          </reference>
        </references>
      </pivotArea>
    </format>
    <format dxfId="75">
      <pivotArea dataOnly="0" labelOnly="1" outline="0" fieldPosition="0">
        <references count="2">
          <reference field="0" count="1" selected="0">
            <x v="67"/>
          </reference>
          <reference field="1" count="6">
            <x v="210"/>
            <x v="211"/>
            <x v="212"/>
            <x v="213"/>
            <x v="214"/>
            <x v="215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68"/>
          </reference>
          <reference field="1" count="1">
            <x v="216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69"/>
          </reference>
          <reference field="1" count="1">
            <x v="217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70"/>
          </reference>
          <reference field="1" count="3">
            <x v="218"/>
            <x v="219"/>
            <x v="220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71"/>
          </reference>
          <reference field="1" count="1">
            <x v="221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72"/>
          </reference>
          <reference field="1" count="1">
            <x v="222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73"/>
          </reference>
          <reference field="1" count="2">
            <x v="223"/>
            <x v="224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74"/>
          </reference>
          <reference field="1" count="1">
            <x v="225"/>
          </reference>
        </references>
      </pivotArea>
    </format>
  </formats>
  <pivotHierarchies count="19">
    <pivotHierarchy dragToData="1">
      <members count="302" level="1">
        <member name="[Classes].[Classe ID].&amp;[CLA001]"/>
        <member name="[Classes].[Classe ID].&amp;[CLA002]"/>
        <member name="[Classes].[Classe ID].&amp;[CLA003]"/>
        <member name="[Classes].[Classe ID].&amp;[CLA004]"/>
        <member name="[Classes].[Classe ID].&amp;[CLA005]"/>
        <member name="[Classes].[Classe ID].&amp;[CLA006]"/>
        <member name="[Classes].[Classe ID].&amp;[CLA007]"/>
        <member name="[Classes].[Classe ID].&amp;[CLA008]"/>
        <member name="[Classes].[Classe ID].&amp;[CLA009]"/>
        <member name="[Classes].[Classe ID].&amp;[CLA010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Classes].[Classe ID].&amp;[CLA159]"/>
        <member name="[Classes].[Classe ID].&amp;[CLA160]"/>
        <member name="[Classes].[Classe ID].&amp;[CLA161]"/>
        <member name="[Classes].[Classe ID].&amp;[CLA162]"/>
        <member name="[Classes].[Classe ID].&amp;[CLA163]"/>
        <member name="[Classes].[Classe ID].&amp;[CLA164]"/>
        <member name="[Classes].[Classe ID].&amp;[CLA165]"/>
        <member name="[Classes].[Classe ID].&amp;[CLA166]"/>
        <member name="[Classes].[Classe ID].&amp;[CLA167]"/>
        <member name="[Classes].[Classe ID].&amp;[CLA168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Classes].[Classe ID].&amp;[CLA201]"/>
        <member name="[Classes].[Classe ID].&amp;[CLA202]"/>
        <member name="[Classes].[Classe ID].&amp;[CLA203]"/>
        <member name="[Classes].[Classe ID].&amp;[CLA204]"/>
        <member name="[Classes].[Classe ID].&amp;[CLA205]"/>
        <member name="[Classes].[Classe ID].&amp;[CLA206]"/>
        <member name="[Classes].[Classe ID].&amp;[CLA207]"/>
        <member name="[Classes].[Classe ID].&amp;[CLA208]"/>
        <member name="[Classes].[Classe ID].&amp;[CLA209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Classes].[Classe ID].&amp;[CLA220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Classes].[Classe ID].&amp;[CLA251]"/>
        <member name="[Classes].[Classe ID].&amp;[CLA252]"/>
        <member name="[Classes].[Classe ID].&amp;[CLA253]"/>
        <member name="[Classes].[Classe ID].&amp;[CLA254]"/>
        <member name="[Classes].[Classe ID].&amp;[CLA255]"/>
        <member name="[Classes].[Classe ID].&amp;[CLA256]"/>
        <member name="[Classes].[Classe ID].&amp;[CLA257]"/>
        <member name=""/>
        <member name=""/>
        <member name=""/>
        <member name=""/>
        <member name="[Classes].[Classe ID].&amp;[CLA262]"/>
        <member name="[Classes].[Classe ID].&amp;[CLA263]"/>
        <member name="[Classes].[Classe ID].&amp;[CLA264]"/>
        <member name="[Classes].[Classe ID].&amp;[CLA265]"/>
        <member name="[Classes].[Classe ID].&amp;[CLA266]"/>
        <member name="[Classes].[Classe ID].&amp;[CLA267]"/>
        <member name="[Classes].[Classe ID].&amp;[CLA268]"/>
        <member name="[Classes].[Classe ID].&amp;[CLA269]"/>
        <member name="[Classes].[Classe ID].&amp;[CLA270]"/>
        <member name="[Classes].[Classe ID].&amp;[CLA271]"/>
        <member name="[Classes].[Classe ID].&amp;[CLA272]"/>
        <member name="[Classes].[Classe ID].&amp;[CLA273]"/>
        <member name="[Classes].[Classe ID].&amp;[CLA274]"/>
        <member name="[Classes].[Classe ID].&amp;[CLA275]"/>
        <member name="[Classes].[Classe ID].&amp;[CLA276]"/>
        <member name="[Classes].[Classe ID].&amp;[CLA277]"/>
        <member name="[Classes].[Classe ID].&amp;[CLA278]"/>
        <member name="[Classes].[Classe ID].&amp;[CLA279]"/>
        <member name="[Classes].[Classe ID].&amp;[CLA280]"/>
        <member name="[Classes].[Classe ID].&amp;[CLA281]"/>
        <member name="[Classes].[Classe ID].&amp;[CLA282]"/>
        <member name="[Classes].[Classe ID].&amp;[CLA283]"/>
        <member name="[Classes].[Classe ID].&amp;[CLA284]"/>
        <member name="[Classes].[Classe ID].&amp;[CLA285]"/>
        <member name="[Classes].[Classe ID].&amp;[CLA286]"/>
        <member name="[Classes].[Classe ID].&amp;[CLA287]"/>
        <member name="[Classes].[Classe ID].&amp;[CLA288]"/>
        <member name="[Classes].[Classe ID].&amp;[CLA289]"/>
        <member name="[Classes].[Classe ID].&amp;[CLA290]"/>
        <member name="[Classes].[Classe ID].&amp;[CLA291]"/>
        <member name="[Classes].[Classe ID].&amp;[CLA292]"/>
        <member name="[Classes].[Classe ID].&amp;[CLA293]"/>
        <member name="[Classes].[Classe ID].&amp;[CLA294]"/>
        <member name="[Classes].[Classe ID].&amp;[CLA295]"/>
        <member name="[Classes].[Classe ID].&amp;[CLA296]"/>
        <member name="[Classes].[Classe ID].&amp;[CLA297]"/>
        <member name="[Classes].[Classe ID].&amp;[CLA298]"/>
        <member name="[Classes].[Classe ID].&amp;[CLA299]"/>
        <member name=""/>
        <member name=""/>
        <member name="[Classes].[Classe ID].&amp;[CLA302]"/>
      </members>
    </pivotHierarchy>
    <pivotHierarchy dragToData="1">
      <members count="120" level="1">
        <member name=""/>
        <member name="[Classes].[Prestation ID].&amp;[PRESTA002]"/>
        <member name=""/>
        <member name="[Classes].[Prestation ID].&amp;[PRESTA005]"/>
        <member name=""/>
        <member name="[Classes].[Prestation ID].&amp;[PRESTA009]"/>
        <member name=""/>
        <member name="[Classes].[Prestation ID].&amp;[PRESTA011]"/>
        <member name=""/>
        <member name="[Classes].[Prestation ID].&amp;[PRESTA014]"/>
        <member name="[Classes].[Prestation ID].&amp;[PRESTA016]"/>
        <member name=""/>
        <member name=""/>
        <member name=""/>
        <member name=""/>
        <member name=""/>
        <member name=""/>
        <member name="[Classes].[Prestation ID].&amp;[PRESTA026]"/>
        <member name=""/>
        <member name=""/>
        <member name=""/>
        <member name="[Classes].[Prestation ID].&amp;[PRESTA030]"/>
        <member name="[Classes].[Prestation ID].&amp;[PRESTA031]"/>
        <member name=""/>
        <member name="[Classes].[Prestation ID].&amp;[PRESTA035]"/>
        <member name=""/>
        <member name="[Classes].[Prestation ID].&amp;[PRESTA037]"/>
        <member name=""/>
        <member name=""/>
        <member name="[Classes].[Prestation ID].&amp;[PRESTA040]"/>
        <member name=""/>
        <member name=""/>
        <member name=""/>
        <member name=""/>
        <member name="[Classes].[Prestation ID].&amp;[PRESTA048]"/>
        <member name=""/>
        <member name=""/>
        <member name=""/>
        <member name=""/>
        <member name=""/>
        <member name="[Classes].[Prestation ID].&amp;[PRESTA060]"/>
        <member name="[Classes].[Prestation ID].&amp;[PRESTA062]"/>
        <member name=""/>
        <member name=""/>
        <member name=""/>
        <member name="[Classes].[Prestation ID].&amp;[PRESTA067]"/>
        <member name="[Classes].[Prestation ID].&amp;[PRESTA069]"/>
        <member name="[Classes].[Prestation ID].&amp;[PRESTA070]"/>
        <member name=""/>
        <member name="[Classes].[Prestation ID].&amp;[PRESTA072]"/>
        <member name="[Classes].[Prestation ID].&amp;[PRESTA073]"/>
        <member name="[Classes].[Prestation ID].&amp;[PRESTA074]"/>
        <member name=""/>
        <member name=""/>
        <member name="[Classes].[Prestation ID].&amp;[PRESTA080]"/>
        <member name="[Classes].[Prestation ID].&amp;[PRESTA081]"/>
        <member name=""/>
        <member name=""/>
        <member name=""/>
        <member name=""/>
        <member name=""/>
        <member name="[Classes].[Prestation ID].&amp;[PRESTA090]"/>
        <member name="[Classes].[Prestation ID].&amp;[PRESTA091]"/>
        <member name="[Classes].[Prestation ID].&amp;[PRESTA093]"/>
        <member name="[Classes].[Prestation ID].&amp;[PRESTA095]"/>
        <member name="[Classes].[Prestation ID].&amp;[PRESTA096]"/>
        <member name="[Classes].[Prestation ID].&amp;[PRESTA097]"/>
        <member name="[Classes].[Prestation ID].&amp;[PRESTA098]"/>
        <member name=""/>
        <member name="[Classes].[Prestation ID].&amp;[PRESTA102]"/>
        <member name="[Classes].[Prestation ID].&amp;[PRESTA103]"/>
        <member name=""/>
        <member name=""/>
        <member name="[Classes].[Prestation ID].&amp;[PRESTA109]"/>
        <member name=""/>
        <member name="[Classes].[Prestation ID].&amp;[PRESTA116]"/>
        <member name="[Classes].[Prestation ID].&amp;[PRESTA117]"/>
        <member name=""/>
        <member name=""/>
        <member name="[Classes].[Prestation ID].&amp;[PRESTA120]"/>
        <member name=""/>
        <member name="[Classes].[Prestation ID].&amp;[PRESTA122]"/>
        <member name="[Classes].[Prestation ID].&amp;[PRESTA123]"/>
        <member name=""/>
        <member name=""/>
        <member name=""/>
        <member name=""/>
        <member name="[Classes].[Prestation ID].&amp;[PRESTA130]"/>
        <member name=""/>
        <member name=""/>
        <member name=""/>
        <member name=""/>
        <member name="[Classes].[Prestation ID].&amp;[PRESTA135]"/>
        <member name=""/>
        <member name=""/>
        <member name=""/>
        <member name="[Classes].[Prestation ID].&amp;[PRESTA142]"/>
        <member name=""/>
        <member name=""/>
        <member name=""/>
        <member name=""/>
        <member name=""/>
        <member name="[Classes].[Prestation ID].&amp;[PRESTA148]"/>
        <member name=""/>
        <member name="[Classes].[Prestation ID].&amp;[PRESTA150]"/>
        <member name=""/>
        <member name=""/>
        <member name=""/>
        <member name="[Classes].[Prestation ID].&amp;[PRESTA156]"/>
        <member name=""/>
        <member name=""/>
        <member name="[Classes].[Prestation ID].&amp;[PRESTA162]"/>
        <member name=""/>
        <member name=""/>
        <member name=""/>
        <member name=""/>
        <member name=""/>
        <member name=""/>
        <member name=""/>
        <member name="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Requête - Classes">
        <x15:activeTabTopLevelEntity name="[Clas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17C538-E5D1-44E9-8909-1E56DB897899}" name="Tableau croisé dynamique8" cacheId="1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8" indent="0" compact="0" compactData="0" multipleFieldFilters="0">
  <location ref="B3:C229" firstHeaderRow="1" firstDataRow="1" firstDataCol="2" rowPageCount="1" colPageCount="1"/>
  <pivotFields count="3">
    <pivotField axis="axisRow" compact="0" allDrilled="1" outline="0" showAll="0" dataSourceSort="1" defaultSubtotal="0" defaultAttributeDrillState="1">
      <items count="7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226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s="1" x="107"/>
        <item s="1" x="108"/>
        <item s="1" x="109"/>
        <item s="1" x="110"/>
        <item s="1" x="111"/>
        <item s="1" x="112"/>
        <item s="1" x="113"/>
        <item s="1" x="114"/>
        <item s="1" x="115"/>
        <item s="1" x="116"/>
        <item s="1" x="117"/>
        <item s="1" x="118"/>
        <item s="1" x="119"/>
        <item s="1" x="120"/>
        <item s="1" x="121"/>
        <item s="1" x="122"/>
        <item s="1" x="123"/>
        <item s="1" x="124"/>
        <item s="1" x="125"/>
        <item s="1" x="126"/>
        <item s="1" x="127"/>
        <item s="1" x="128"/>
        <item s="1" x="129"/>
        <item s="1" x="130"/>
        <item s="1" x="131"/>
        <item s="1" x="132"/>
        <item s="1" x="133"/>
        <item s="1" x="134"/>
        <item s="1" x="135"/>
        <item s="1" x="136"/>
        <item s="1" x="137"/>
        <item s="1" x="138"/>
        <item s="1" x="139"/>
        <item s="1" x="140"/>
        <item s="1" x="141"/>
        <item s="1" x="142"/>
        <item s="1" x="143"/>
        <item s="1" x="144"/>
        <item s="1" x="145"/>
        <item s="1" x="146"/>
        <item s="1" x="147"/>
        <item s="1" x="148"/>
        <item s="1" x="149"/>
        <item s="1" x="150"/>
        <item s="1" x="151"/>
        <item s="1" x="152"/>
        <item s="1" x="153"/>
        <item s="1" x="154"/>
        <item s="1" x="155"/>
        <item s="1" x="156"/>
        <item s="1" x="157"/>
        <item s="1" x="158"/>
        <item s="1" x="159"/>
        <item s="1" x="160"/>
        <item s="1" x="161"/>
        <item s="1" x="162"/>
        <item s="1" x="163"/>
        <item s="1" x="164"/>
        <item s="1" x="165"/>
        <item s="1" x="166"/>
        <item s="1" x="167"/>
        <item s="1" x="168"/>
        <item s="1" x="169"/>
        <item s="1" x="170"/>
        <item s="1" x="171"/>
        <item s="1" x="172"/>
        <item s="1" x="173"/>
        <item s="1" x="174"/>
        <item s="1" x="175"/>
        <item s="1" x="176"/>
        <item s="1" x="177"/>
        <item s="1" x="178"/>
        <item s="1" x="179"/>
        <item s="1" x="180"/>
        <item s="1" x="181"/>
        <item s="1" x="182"/>
        <item s="1" x="183"/>
        <item s="1" x="184"/>
        <item s="1" x="185"/>
        <item s="1" x="186"/>
        <item s="1" x="187"/>
        <item s="1" x="188"/>
        <item s="1" x="189"/>
        <item s="1" x="190"/>
        <item s="1" x="191"/>
        <item s="1" x="192"/>
        <item s="1" x="193"/>
        <item s="1" x="194"/>
        <item s="1" x="195"/>
        <item s="1" x="196"/>
        <item s="1" x="197"/>
        <item s="1" x="198"/>
        <item s="1" x="199"/>
        <item s="1" x="200"/>
        <item s="1" x="201"/>
        <item s="1" x="202"/>
        <item s="1" x="203"/>
        <item s="1" x="204"/>
        <item s="1" x="205"/>
        <item s="1" x="206"/>
        <item s="1" x="207"/>
        <item s="1" x="208"/>
        <item s="1" x="209"/>
        <item s="1" x="210"/>
        <item s="1" x="211"/>
        <item s="1" x="212"/>
        <item s="1" x="213"/>
        <item s="1" x="214"/>
        <item s="1" x="215"/>
        <item s="1" x="216"/>
        <item s="1" x="217"/>
        <item s="1" x="218"/>
        <item s="1" x="219"/>
        <item s="1" x="220"/>
        <item s="1" x="221"/>
        <item s="1" x="222"/>
        <item s="1" x="223"/>
        <item s="1" x="224"/>
        <item s="1" x="2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226">
    <i>
      <x/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>
      <x v="3"/>
      <x v="23"/>
    </i>
    <i>
      <x v="4"/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>
      <x v="5"/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6"/>
      <x v="55"/>
    </i>
    <i r="1">
      <x v="56"/>
    </i>
    <i>
      <x v="7"/>
      <x v="57"/>
    </i>
    <i>
      <x v="8"/>
      <x v="58"/>
    </i>
    <i r="1">
      <x v="59"/>
    </i>
    <i>
      <x v="9"/>
      <x v="60"/>
    </i>
    <i>
      <x v="10"/>
      <x v="61"/>
    </i>
    <i r="1">
      <x v="62"/>
    </i>
    <i>
      <x v="11"/>
      <x v="63"/>
    </i>
    <i r="1">
      <x v="64"/>
    </i>
    <i>
      <x v="12"/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>
      <x v="13"/>
      <x v="75"/>
    </i>
    <i r="1">
      <x v="76"/>
    </i>
    <i>
      <x v="14"/>
      <x v="77"/>
    </i>
    <i r="1">
      <x v="78"/>
    </i>
    <i r="1">
      <x v="79"/>
    </i>
    <i r="1">
      <x v="80"/>
    </i>
    <i r="1">
      <x v="81"/>
    </i>
    <i>
      <x v="15"/>
      <x v="82"/>
    </i>
    <i r="1">
      <x v="83"/>
    </i>
    <i r="1">
      <x v="84"/>
    </i>
    <i r="1">
      <x v="85"/>
    </i>
    <i>
      <x v="16"/>
      <x v="86"/>
    </i>
    <i>
      <x v="17"/>
      <x v="87"/>
    </i>
    <i>
      <x v="18"/>
      <x v="88"/>
    </i>
    <i r="1">
      <x v="89"/>
    </i>
    <i r="1">
      <x v="90"/>
    </i>
    <i>
      <x v="19"/>
      <x v="91"/>
    </i>
    <i r="1">
      <x v="92"/>
    </i>
    <i>
      <x v="20"/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21"/>
      <x v="104"/>
    </i>
    <i r="1">
      <x v="105"/>
    </i>
    <i r="1">
      <x v="106"/>
    </i>
    <i r="1">
      <x v="107"/>
    </i>
    <i r="1">
      <x v="108"/>
    </i>
    <i>
      <x v="22"/>
      <x v="109"/>
    </i>
    <i>
      <x v="23"/>
      <x v="110"/>
    </i>
    <i r="1">
      <x v="111"/>
    </i>
    <i r="1">
      <x v="112"/>
    </i>
    <i>
      <x v="24"/>
      <x v="113"/>
    </i>
    <i>
      <x v="25"/>
      <x v="114"/>
    </i>
    <i>
      <x v="26"/>
      <x v="115"/>
    </i>
    <i r="1">
      <x v="116"/>
    </i>
    <i r="1">
      <x v="117"/>
    </i>
    <i>
      <x v="27"/>
      <x v="118"/>
    </i>
    <i>
      <x v="28"/>
      <x v="119"/>
    </i>
    <i r="1">
      <x v="120"/>
    </i>
    <i r="1">
      <x v="121"/>
    </i>
    <i>
      <x v="29"/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>
      <x v="30"/>
      <x v="142"/>
    </i>
    <i>
      <x v="31"/>
      <x v="143"/>
    </i>
    <i>
      <x v="32"/>
      <x v="144"/>
    </i>
    <i r="1">
      <x v="145"/>
    </i>
    <i r="1">
      <x v="146"/>
    </i>
    <i r="1">
      <x v="147"/>
    </i>
    <i>
      <x v="33"/>
      <x v="148"/>
    </i>
    <i>
      <x v="34"/>
      <x v="149"/>
    </i>
    <i r="1">
      <x v="150"/>
    </i>
    <i r="1">
      <x v="151"/>
    </i>
    <i r="1">
      <x v="152"/>
    </i>
    <i>
      <x v="35"/>
      <x v="153"/>
    </i>
    <i>
      <x v="36"/>
      <x v="154"/>
    </i>
    <i r="1">
      <x v="155"/>
    </i>
    <i r="1">
      <x v="156"/>
    </i>
    <i>
      <x v="37"/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>
      <x v="38"/>
      <x v="167"/>
    </i>
    <i>
      <x v="39"/>
      <x v="168"/>
    </i>
    <i>
      <x v="40"/>
      <x v="169"/>
    </i>
    <i>
      <x v="41"/>
      <x v="170"/>
    </i>
    <i r="1">
      <x v="171"/>
    </i>
    <i r="1">
      <x v="172"/>
    </i>
    <i>
      <x v="42"/>
      <x v="173"/>
    </i>
    <i r="1">
      <x v="174"/>
    </i>
    <i r="1">
      <x v="175"/>
    </i>
    <i r="1">
      <x v="176"/>
    </i>
    <i>
      <x v="43"/>
      <x v="177"/>
    </i>
    <i r="1">
      <x v="178"/>
    </i>
    <i r="1">
      <x v="179"/>
    </i>
    <i r="1">
      <x v="180"/>
    </i>
    <i>
      <x v="44"/>
      <x v="181"/>
    </i>
    <i>
      <x v="45"/>
      <x v="182"/>
    </i>
    <i>
      <x v="46"/>
      <x v="183"/>
    </i>
    <i>
      <x v="47"/>
      <x v="184"/>
    </i>
    <i>
      <x v="48"/>
      <x v="185"/>
    </i>
    <i>
      <x v="49"/>
      <x v="186"/>
    </i>
    <i>
      <x v="50"/>
      <x v="187"/>
    </i>
    <i r="1">
      <x v="188"/>
    </i>
    <i r="1">
      <x v="189"/>
    </i>
    <i r="1">
      <x v="190"/>
    </i>
    <i>
      <x v="51"/>
      <x v="191"/>
    </i>
    <i>
      <x v="52"/>
      <x v="192"/>
    </i>
    <i>
      <x v="53"/>
      <x v="193"/>
    </i>
    <i>
      <x v="54"/>
      <x v="194"/>
    </i>
    <i>
      <x v="55"/>
      <x v="195"/>
    </i>
    <i>
      <x v="56"/>
      <x v="196"/>
    </i>
    <i>
      <x v="57"/>
      <x v="197"/>
    </i>
    <i>
      <x v="58"/>
      <x v="198"/>
    </i>
    <i>
      <x v="59"/>
      <x v="199"/>
    </i>
    <i r="1">
      <x v="200"/>
    </i>
    <i>
      <x v="60"/>
      <x v="201"/>
    </i>
    <i>
      <x v="61"/>
      <x v="202"/>
    </i>
    <i>
      <x v="62"/>
      <x v="203"/>
    </i>
    <i r="1">
      <x v="204"/>
    </i>
    <i>
      <x v="63"/>
      <x v="205"/>
    </i>
    <i>
      <x v="64"/>
      <x v="206"/>
    </i>
    <i>
      <x v="65"/>
      <x v="207"/>
    </i>
    <i r="1">
      <x v="208"/>
    </i>
    <i>
      <x v="66"/>
      <x v="209"/>
    </i>
    <i>
      <x v="67"/>
      <x v="210"/>
    </i>
    <i r="1">
      <x v="211"/>
    </i>
    <i r="1">
      <x v="212"/>
    </i>
    <i r="1">
      <x v="213"/>
    </i>
    <i r="1">
      <x v="214"/>
    </i>
    <i r="1">
      <x v="215"/>
    </i>
    <i>
      <x v="68"/>
      <x v="216"/>
    </i>
    <i>
      <x v="69"/>
      <x v="217"/>
    </i>
    <i>
      <x v="70"/>
      <x v="218"/>
    </i>
    <i r="1">
      <x v="219"/>
    </i>
    <i r="1">
      <x v="220"/>
    </i>
    <i>
      <x v="71"/>
      <x v="221"/>
    </i>
    <i>
      <x v="72"/>
      <x v="222"/>
    </i>
    <i>
      <x v="73"/>
      <x v="223"/>
    </i>
    <i r="1">
      <x v="224"/>
    </i>
    <i>
      <x v="74"/>
      <x v="225"/>
    </i>
  </rowItems>
  <pageFields count="1">
    <pageField fld="2" hier="16" name="[Classes].[Total classe de la prestation termine].&amp;[True]" cap="TRUE"/>
  </pageFields>
  <formats count="83">
    <format dxfId="165">
      <pivotArea field="0" type="button" dataOnly="0" labelOnly="1" outline="0" axis="axisRow" fieldPosition="0"/>
    </format>
    <format dxfId="164">
      <pivotArea field="1" type="button" dataOnly="0" labelOnly="1" outline="0" axis="axisRow" fieldPosition="1"/>
    </format>
    <format dxfId="163">
      <pivotArea field="0" type="button" dataOnly="0" labelOnly="1" outline="0" axis="axisRow" fieldPosition="0"/>
    </format>
    <format dxfId="162">
      <pivotArea field="1" type="button" dataOnly="0" labelOnly="1" outline="0" axis="axisRow" fieldPosition="1"/>
    </format>
    <format dxfId="161">
      <pivotArea field="0" type="button" dataOnly="0" labelOnly="1" outline="0" axis="axisRow" fieldPosition="0"/>
    </format>
    <format dxfId="160">
      <pivotArea field="1" type="button" dataOnly="0" labelOnly="1" outline="0" axis="axisRow" fieldPosition="1"/>
    </format>
    <format dxfId="159">
      <pivotArea dataOnly="0" labelOnly="1" outline="0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58">
      <pivotArea dataOnly="0" labelOnly="1" outline="0" fieldPosition="0">
        <references count="1">
          <reference field="0" count="25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</reference>
        </references>
      </pivotArea>
    </format>
    <format dxfId="157">
      <pivotArea dataOnly="0" labelOnly="1" outline="0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156">
      <pivotArea dataOnly="0" labelOnly="1" outline="0" fieldPosition="0">
        <references count="2">
          <reference field="0" count="1" selected="0">
            <x v="1"/>
          </reference>
          <reference field="1" count="21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5">
      <pivotArea dataOnly="0" labelOnly="1" outline="0" fieldPosition="0">
        <references count="2">
          <reference field="0" count="1" selected="0">
            <x v="2"/>
          </reference>
          <reference field="1" count="1">
            <x v="22"/>
          </reference>
        </references>
      </pivotArea>
    </format>
    <format dxfId="154">
      <pivotArea dataOnly="0" labelOnly="1" outline="0" fieldPosition="0">
        <references count="2">
          <reference field="0" count="1" selected="0">
            <x v="3"/>
          </reference>
          <reference field="1" count="1">
            <x v="23"/>
          </reference>
        </references>
      </pivotArea>
    </format>
    <format dxfId="153">
      <pivotArea dataOnly="0" labelOnly="1" outline="0" fieldPosition="0">
        <references count="2">
          <reference field="0" count="1" selected="0">
            <x v="4"/>
          </reference>
          <reference field="1" count="15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</references>
      </pivotArea>
    </format>
    <format dxfId="152">
      <pivotArea dataOnly="0" labelOnly="1" outline="0" fieldPosition="0">
        <references count="2">
          <reference field="0" count="1" selected="0">
            <x v="5"/>
          </reference>
          <reference field="1" count="16"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51">
      <pivotArea dataOnly="0" labelOnly="1" outline="0" fieldPosition="0">
        <references count="2">
          <reference field="0" count="1" selected="0">
            <x v="6"/>
          </reference>
          <reference field="1" count="2">
            <x v="55"/>
            <x v="56"/>
          </reference>
        </references>
      </pivotArea>
    </format>
    <format dxfId="150">
      <pivotArea dataOnly="0" labelOnly="1" outline="0" fieldPosition="0">
        <references count="2">
          <reference field="0" count="1" selected="0">
            <x v="7"/>
          </reference>
          <reference field="1" count="1">
            <x v="57"/>
          </reference>
        </references>
      </pivotArea>
    </format>
    <format dxfId="149">
      <pivotArea dataOnly="0" labelOnly="1" outline="0" fieldPosition="0">
        <references count="2">
          <reference field="0" count="1" selected="0">
            <x v="8"/>
          </reference>
          <reference field="1" count="2">
            <x v="58"/>
            <x v="59"/>
          </reference>
        </references>
      </pivotArea>
    </format>
    <format dxfId="148">
      <pivotArea dataOnly="0" labelOnly="1" outline="0" fieldPosition="0">
        <references count="2">
          <reference field="0" count="1" selected="0">
            <x v="9"/>
          </reference>
          <reference field="1" count="1">
            <x v="60"/>
          </reference>
        </references>
      </pivotArea>
    </format>
    <format dxfId="147">
      <pivotArea dataOnly="0" labelOnly="1" outline="0" fieldPosition="0">
        <references count="2">
          <reference field="0" count="1" selected="0">
            <x v="10"/>
          </reference>
          <reference field="1" count="2">
            <x v="61"/>
            <x v="62"/>
          </reference>
        </references>
      </pivotArea>
    </format>
    <format dxfId="146">
      <pivotArea dataOnly="0" labelOnly="1" outline="0" fieldPosition="0">
        <references count="2">
          <reference field="0" count="1" selected="0">
            <x v="11"/>
          </reference>
          <reference field="1" count="2">
            <x v="63"/>
            <x v="64"/>
          </reference>
        </references>
      </pivotArea>
    </format>
    <format dxfId="145">
      <pivotArea dataOnly="0" labelOnly="1" outline="0" fieldPosition="0">
        <references count="2">
          <reference field="0" count="1" selected="0">
            <x v="12"/>
          </reference>
          <reference field="1" count="10">
            <x v="65"/>
            <x v="66"/>
            <x v="67"/>
            <x v="68"/>
            <x v="69"/>
            <x v="70"/>
            <x v="71"/>
            <x v="72"/>
            <x v="73"/>
            <x v="74"/>
          </reference>
        </references>
      </pivotArea>
    </format>
    <format dxfId="144">
      <pivotArea dataOnly="0" labelOnly="1" outline="0" fieldPosition="0">
        <references count="2">
          <reference field="0" count="1" selected="0">
            <x v="13"/>
          </reference>
          <reference field="1" count="2">
            <x v="75"/>
            <x v="76"/>
          </reference>
        </references>
      </pivotArea>
    </format>
    <format dxfId="143">
      <pivotArea dataOnly="0" labelOnly="1" outline="0" fieldPosition="0">
        <references count="2">
          <reference field="0" count="1" selected="0">
            <x v="14"/>
          </reference>
          <reference field="1" count="5">
            <x v="77"/>
            <x v="78"/>
            <x v="79"/>
            <x v="80"/>
            <x v="81"/>
          </reference>
        </references>
      </pivotArea>
    </format>
    <format dxfId="142">
      <pivotArea dataOnly="0" labelOnly="1" outline="0" fieldPosition="0">
        <references count="2">
          <reference field="0" count="1" selected="0">
            <x v="15"/>
          </reference>
          <reference field="1" count="4">
            <x v="82"/>
            <x v="83"/>
            <x v="84"/>
            <x v="85"/>
          </reference>
        </references>
      </pivotArea>
    </format>
    <format dxfId="141">
      <pivotArea dataOnly="0" labelOnly="1" outline="0" fieldPosition="0">
        <references count="2">
          <reference field="0" count="1" selected="0">
            <x v="16"/>
          </reference>
          <reference field="1" count="1">
            <x v="86"/>
          </reference>
        </references>
      </pivotArea>
    </format>
    <format dxfId="140">
      <pivotArea dataOnly="0" labelOnly="1" outline="0" fieldPosition="0">
        <references count="2">
          <reference field="0" count="1" selected="0">
            <x v="17"/>
          </reference>
          <reference field="1" count="1">
            <x v="87"/>
          </reference>
        </references>
      </pivotArea>
    </format>
    <format dxfId="139">
      <pivotArea dataOnly="0" labelOnly="1" outline="0" fieldPosition="0">
        <references count="2">
          <reference field="0" count="1" selected="0">
            <x v="18"/>
          </reference>
          <reference field="1" count="3">
            <x v="88"/>
            <x v="89"/>
            <x v="90"/>
          </reference>
        </references>
      </pivotArea>
    </format>
    <format dxfId="138">
      <pivotArea dataOnly="0" labelOnly="1" outline="0" fieldPosition="0">
        <references count="2">
          <reference field="0" count="1" selected="0">
            <x v="19"/>
          </reference>
          <reference field="1" count="2">
            <x v="91"/>
            <x v="92"/>
          </reference>
        </references>
      </pivotArea>
    </format>
    <format dxfId="137">
      <pivotArea dataOnly="0" labelOnly="1" outline="0" fieldPosition="0">
        <references count="2">
          <reference field="0" count="1" selected="0">
            <x v="20"/>
          </reference>
          <reference field="1" count="11"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</reference>
        </references>
      </pivotArea>
    </format>
    <format dxfId="136">
      <pivotArea dataOnly="0" labelOnly="1" outline="0" fieldPosition="0">
        <references count="2">
          <reference field="0" count="1" selected="0">
            <x v="21"/>
          </reference>
          <reference field="1" count="5">
            <x v="104"/>
            <x v="105"/>
            <x v="106"/>
            <x v="107"/>
            <x v="108"/>
          </reference>
        </references>
      </pivotArea>
    </format>
    <format dxfId="135">
      <pivotArea dataOnly="0" labelOnly="1" outline="0" fieldPosition="0">
        <references count="2">
          <reference field="0" count="1" selected="0">
            <x v="22"/>
          </reference>
          <reference field="1" count="1">
            <x v="109"/>
          </reference>
        </references>
      </pivotArea>
    </format>
    <format dxfId="134">
      <pivotArea dataOnly="0" labelOnly="1" outline="0" fieldPosition="0">
        <references count="2">
          <reference field="0" count="1" selected="0">
            <x v="23"/>
          </reference>
          <reference field="1" count="3">
            <x v="110"/>
            <x v="111"/>
            <x v="112"/>
          </reference>
        </references>
      </pivotArea>
    </format>
    <format dxfId="133">
      <pivotArea dataOnly="0" labelOnly="1" outline="0" fieldPosition="0">
        <references count="2">
          <reference field="0" count="1" selected="0">
            <x v="24"/>
          </reference>
          <reference field="1" count="1">
            <x v="113"/>
          </reference>
        </references>
      </pivotArea>
    </format>
    <format dxfId="132">
      <pivotArea dataOnly="0" labelOnly="1" outline="0" fieldPosition="0">
        <references count="2">
          <reference field="0" count="1" selected="0">
            <x v="25"/>
          </reference>
          <reference field="1" count="1">
            <x v="114"/>
          </reference>
        </references>
      </pivotArea>
    </format>
    <format dxfId="131">
      <pivotArea dataOnly="0" labelOnly="1" outline="0" fieldPosition="0">
        <references count="2">
          <reference field="0" count="1" selected="0">
            <x v="26"/>
          </reference>
          <reference field="1" count="3">
            <x v="115"/>
            <x v="116"/>
            <x v="117"/>
          </reference>
        </references>
      </pivotArea>
    </format>
    <format dxfId="130">
      <pivotArea dataOnly="0" labelOnly="1" outline="0" fieldPosition="0">
        <references count="2">
          <reference field="0" count="1" selected="0">
            <x v="27"/>
          </reference>
          <reference field="1" count="1">
            <x v="118"/>
          </reference>
        </references>
      </pivotArea>
    </format>
    <format dxfId="129">
      <pivotArea dataOnly="0" labelOnly="1" outline="0" fieldPosition="0">
        <references count="2">
          <reference field="0" count="1" selected="0">
            <x v="28"/>
          </reference>
          <reference field="1" count="3">
            <x v="119"/>
            <x v="120"/>
            <x v="121"/>
          </reference>
        </references>
      </pivotArea>
    </format>
    <format dxfId="128">
      <pivotArea dataOnly="0" labelOnly="1" outline="0" fieldPosition="0">
        <references count="2">
          <reference field="0" count="1" selected="0">
            <x v="29"/>
          </reference>
          <reference field="1" count="20"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</reference>
        </references>
      </pivotArea>
    </format>
    <format dxfId="127">
      <pivotArea dataOnly="0" labelOnly="1" outline="0" fieldPosition="0">
        <references count="2">
          <reference field="0" count="1" selected="0">
            <x v="30"/>
          </reference>
          <reference field="1" count="1">
            <x v="142"/>
          </reference>
        </references>
      </pivotArea>
    </format>
    <format dxfId="126">
      <pivotArea dataOnly="0" labelOnly="1" outline="0" fieldPosition="0">
        <references count="2">
          <reference field="0" count="1" selected="0">
            <x v="31"/>
          </reference>
          <reference field="1" count="1">
            <x v="143"/>
          </reference>
        </references>
      </pivotArea>
    </format>
    <format dxfId="125">
      <pivotArea dataOnly="0" labelOnly="1" outline="0" fieldPosition="0">
        <references count="2">
          <reference field="0" count="1" selected="0">
            <x v="32"/>
          </reference>
          <reference field="1" count="4">
            <x v="144"/>
            <x v="145"/>
            <x v="146"/>
            <x v="147"/>
          </reference>
        </references>
      </pivotArea>
    </format>
    <format dxfId="124">
      <pivotArea dataOnly="0" labelOnly="1" outline="0" fieldPosition="0">
        <references count="2">
          <reference field="0" count="1" selected="0">
            <x v="33"/>
          </reference>
          <reference field="1" count="1">
            <x v="148"/>
          </reference>
        </references>
      </pivotArea>
    </format>
    <format dxfId="123">
      <pivotArea dataOnly="0" labelOnly="1" outline="0" fieldPosition="0">
        <references count="2">
          <reference field="0" count="1" selected="0">
            <x v="34"/>
          </reference>
          <reference field="1" count="4">
            <x v="149"/>
            <x v="150"/>
            <x v="151"/>
            <x v="152"/>
          </reference>
        </references>
      </pivotArea>
    </format>
    <format dxfId="122">
      <pivotArea dataOnly="0" labelOnly="1" outline="0" fieldPosition="0">
        <references count="2">
          <reference field="0" count="1" selected="0">
            <x v="35"/>
          </reference>
          <reference field="1" count="1">
            <x v="153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36"/>
          </reference>
          <reference field="1" count="3">
            <x v="154"/>
            <x v="155"/>
            <x v="156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37"/>
          </reference>
          <reference field="1" count="10">
            <x v="157"/>
            <x v="158"/>
            <x v="159"/>
            <x v="160"/>
            <x v="161"/>
            <x v="162"/>
            <x v="163"/>
            <x v="164"/>
            <x v="165"/>
            <x v="166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38"/>
          </reference>
          <reference field="1" count="1">
            <x v="167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39"/>
          </reference>
          <reference field="1" count="1">
            <x v="168"/>
          </reference>
        </references>
      </pivotArea>
    </format>
    <format dxfId="117">
      <pivotArea dataOnly="0" labelOnly="1" outline="0" fieldPosition="0">
        <references count="2">
          <reference field="0" count="1" selected="0">
            <x v="40"/>
          </reference>
          <reference field="1" count="1">
            <x v="169"/>
          </reference>
        </references>
      </pivotArea>
    </format>
    <format dxfId="116">
      <pivotArea dataOnly="0" labelOnly="1" outline="0" fieldPosition="0">
        <references count="2">
          <reference field="0" count="1" selected="0">
            <x v="41"/>
          </reference>
          <reference field="1" count="3">
            <x v="170"/>
            <x v="171"/>
            <x v="172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42"/>
          </reference>
          <reference field="1" count="4">
            <x v="173"/>
            <x v="174"/>
            <x v="175"/>
            <x v="176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43"/>
          </reference>
          <reference field="1" count="4">
            <x v="177"/>
            <x v="178"/>
            <x v="179"/>
            <x v="180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44"/>
          </reference>
          <reference field="1" count="1">
            <x v="181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45"/>
          </reference>
          <reference field="1" count="1">
            <x v="182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46"/>
          </reference>
          <reference field="1" count="1">
            <x v="183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47"/>
          </reference>
          <reference field="1" count="1">
            <x v="184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48"/>
          </reference>
          <reference field="1" count="1">
            <x v="185"/>
          </reference>
        </references>
      </pivotArea>
    </format>
    <format dxfId="108">
      <pivotArea dataOnly="0" labelOnly="1" outline="0" fieldPosition="0">
        <references count="2">
          <reference field="0" count="1" selected="0">
            <x v="49"/>
          </reference>
          <reference field="1" count="1">
            <x v="186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50"/>
          </reference>
          <reference field="1" count="4">
            <x v="187"/>
            <x v="188"/>
            <x v="189"/>
            <x v="190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51"/>
          </reference>
          <reference field="1" count="1">
            <x v="191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52"/>
          </reference>
          <reference field="1" count="1">
            <x v="192"/>
          </reference>
        </references>
      </pivotArea>
    </format>
    <format dxfId="104">
      <pivotArea dataOnly="0" labelOnly="1" outline="0" fieldPosition="0">
        <references count="2">
          <reference field="0" count="1" selected="0">
            <x v="53"/>
          </reference>
          <reference field="1" count="1">
            <x v="193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54"/>
          </reference>
          <reference field="1" count="1">
            <x v="194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55"/>
          </reference>
          <reference field="1" count="1">
            <x v="195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56"/>
          </reference>
          <reference field="1" count="1">
            <x v="196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57"/>
          </reference>
          <reference field="1" count="1">
            <x v="197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58"/>
          </reference>
          <reference field="1" count="1">
            <x v="198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59"/>
          </reference>
          <reference field="1" count="2">
            <x v="199"/>
            <x v="200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60"/>
          </reference>
          <reference field="1" count="1">
            <x v="201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61"/>
          </reference>
          <reference field="1" count="1">
            <x v="202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62"/>
          </reference>
          <reference field="1" count="2">
            <x v="203"/>
            <x v="204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63"/>
          </reference>
          <reference field="1" count="1">
            <x v="205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64"/>
          </reference>
          <reference field="1" count="1">
            <x v="206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65"/>
          </reference>
          <reference field="1" count="2">
            <x v="207"/>
            <x v="208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66"/>
          </reference>
          <reference field="1" count="1">
            <x v="209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67"/>
          </reference>
          <reference field="1" count="6">
            <x v="210"/>
            <x v="211"/>
            <x v="212"/>
            <x v="213"/>
            <x v="214"/>
            <x v="215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68"/>
          </reference>
          <reference field="1" count="1">
            <x v="216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69"/>
          </reference>
          <reference field="1" count="1">
            <x v="217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70"/>
          </reference>
          <reference field="1" count="3">
            <x v="218"/>
            <x v="219"/>
            <x v="220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71"/>
          </reference>
          <reference field="1" count="1">
            <x v="221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72"/>
          </reference>
          <reference field="1" count="1">
            <x v="222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73"/>
          </reference>
          <reference field="1" count="2">
            <x v="223"/>
            <x v="224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74"/>
          </reference>
          <reference field="1" count="1">
            <x v="225"/>
          </reference>
        </references>
      </pivotArea>
    </format>
  </formats>
  <pivotHierarchies count="19">
    <pivotHierarchy dragToData="1">
      <members count="302" level="1">
        <member name="[Classes].[Classe ID].&amp;[CLA001]"/>
        <member name="[Classes].[Classe ID].&amp;[CLA002]"/>
        <member name="[Classes].[Classe ID].&amp;[CLA003]"/>
        <member name="[Classes].[Classe ID].&amp;[CLA004]"/>
        <member name="[Classes].[Classe ID].&amp;[CLA005]"/>
        <member name="[Classes].[Classe ID].&amp;[CLA006]"/>
        <member name="[Classes].[Classe ID].&amp;[CLA007]"/>
        <member name="[Classes].[Classe ID].&amp;[CLA008]"/>
        <member name="[Classes].[Classe ID].&amp;[CLA009]"/>
        <member name="[Classes].[Classe ID].&amp;[CLA010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Classes].[Classe ID].&amp;[CLA159]"/>
        <member name="[Classes].[Classe ID].&amp;[CLA160]"/>
        <member name="[Classes].[Classe ID].&amp;[CLA161]"/>
        <member name="[Classes].[Classe ID].&amp;[CLA162]"/>
        <member name="[Classes].[Classe ID].&amp;[CLA163]"/>
        <member name="[Classes].[Classe ID].&amp;[CLA164]"/>
        <member name="[Classes].[Classe ID].&amp;[CLA165]"/>
        <member name="[Classes].[Classe ID].&amp;[CLA166]"/>
        <member name="[Classes].[Classe ID].&amp;[CLA167]"/>
        <member name="[Classes].[Classe ID].&amp;[CLA168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Classes].[Classe ID].&amp;[CLA201]"/>
        <member name="[Classes].[Classe ID].&amp;[CLA202]"/>
        <member name="[Classes].[Classe ID].&amp;[CLA203]"/>
        <member name="[Classes].[Classe ID].&amp;[CLA204]"/>
        <member name="[Classes].[Classe ID].&amp;[CLA205]"/>
        <member name="[Classes].[Classe ID].&amp;[CLA206]"/>
        <member name="[Classes].[Classe ID].&amp;[CLA207]"/>
        <member name="[Classes].[Classe ID].&amp;[CLA208]"/>
        <member name="[Classes].[Classe ID].&amp;[CLA209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Classes].[Classe ID].&amp;[CLA220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Classes].[Classe ID].&amp;[CLA251]"/>
        <member name="[Classes].[Classe ID].&amp;[CLA252]"/>
        <member name="[Classes].[Classe ID].&amp;[CLA253]"/>
        <member name="[Classes].[Classe ID].&amp;[CLA254]"/>
        <member name="[Classes].[Classe ID].&amp;[CLA255]"/>
        <member name="[Classes].[Classe ID].&amp;[CLA256]"/>
        <member name="[Classes].[Classe ID].&amp;[CLA257]"/>
        <member name=""/>
        <member name=""/>
        <member name=""/>
        <member name=""/>
        <member name="[Classes].[Classe ID].&amp;[CLA262]"/>
        <member name="[Classes].[Classe ID].&amp;[CLA263]"/>
        <member name="[Classes].[Classe ID].&amp;[CLA264]"/>
        <member name="[Classes].[Classe ID].&amp;[CLA265]"/>
        <member name="[Classes].[Classe ID].&amp;[CLA266]"/>
        <member name="[Classes].[Classe ID].&amp;[CLA267]"/>
        <member name="[Classes].[Classe ID].&amp;[CLA268]"/>
        <member name="[Classes].[Classe ID].&amp;[CLA269]"/>
        <member name="[Classes].[Classe ID].&amp;[CLA270]"/>
        <member name="[Classes].[Classe ID].&amp;[CLA271]"/>
        <member name="[Classes].[Classe ID].&amp;[CLA272]"/>
        <member name="[Classes].[Classe ID].&amp;[CLA273]"/>
        <member name="[Classes].[Classe ID].&amp;[CLA274]"/>
        <member name="[Classes].[Classe ID].&amp;[CLA275]"/>
        <member name="[Classes].[Classe ID].&amp;[CLA276]"/>
        <member name="[Classes].[Classe ID].&amp;[CLA277]"/>
        <member name="[Classes].[Classe ID].&amp;[CLA278]"/>
        <member name="[Classes].[Classe ID].&amp;[CLA279]"/>
        <member name="[Classes].[Classe ID].&amp;[CLA280]"/>
        <member name="[Classes].[Classe ID].&amp;[CLA281]"/>
        <member name="[Classes].[Classe ID].&amp;[CLA282]"/>
        <member name="[Classes].[Classe ID].&amp;[CLA283]"/>
        <member name="[Classes].[Classe ID].&amp;[CLA284]"/>
        <member name="[Classes].[Classe ID].&amp;[CLA285]"/>
        <member name="[Classes].[Classe ID].&amp;[CLA286]"/>
        <member name="[Classes].[Classe ID].&amp;[CLA287]"/>
        <member name="[Classes].[Classe ID].&amp;[CLA288]"/>
        <member name="[Classes].[Classe ID].&amp;[CLA289]"/>
        <member name="[Classes].[Classe ID].&amp;[CLA290]"/>
        <member name="[Classes].[Classe ID].&amp;[CLA291]"/>
        <member name="[Classes].[Classe ID].&amp;[CLA292]"/>
        <member name="[Classes].[Classe ID].&amp;[CLA293]"/>
        <member name="[Classes].[Classe ID].&amp;[CLA294]"/>
        <member name="[Classes].[Classe ID].&amp;[CLA295]"/>
        <member name="[Classes].[Classe ID].&amp;[CLA296]"/>
        <member name="[Classes].[Classe ID].&amp;[CLA297]"/>
        <member name="[Classes].[Classe ID].&amp;[CLA298]"/>
        <member name="[Classes].[Classe ID].&amp;[CLA299]"/>
        <member name=""/>
        <member name=""/>
        <member name="[Classes].[Classe ID].&amp;[CLA302]"/>
      </members>
    </pivotHierarchy>
    <pivotHierarchy dragToData="1">
      <members count="120" level="1">
        <member name=""/>
        <member name="[Classes].[Prestation ID].&amp;[PRESTA002]"/>
        <member name=""/>
        <member name="[Classes].[Prestation ID].&amp;[PRESTA005]"/>
        <member name=""/>
        <member name="[Classes].[Prestation ID].&amp;[PRESTA009]"/>
        <member name=""/>
        <member name="[Classes].[Prestation ID].&amp;[PRESTA011]"/>
        <member name=""/>
        <member name="[Classes].[Prestation ID].&amp;[PRESTA014]"/>
        <member name="[Classes].[Prestation ID].&amp;[PRESTA016]"/>
        <member name=""/>
        <member name=""/>
        <member name=""/>
        <member name=""/>
        <member name=""/>
        <member name=""/>
        <member name="[Classes].[Prestation ID].&amp;[PRESTA026]"/>
        <member name=""/>
        <member name=""/>
        <member name=""/>
        <member name="[Classes].[Prestation ID].&amp;[PRESTA030]"/>
        <member name="[Classes].[Prestation ID].&amp;[PRESTA031]"/>
        <member name=""/>
        <member name="[Classes].[Prestation ID].&amp;[PRESTA035]"/>
        <member name=""/>
        <member name="[Classes].[Prestation ID].&amp;[PRESTA037]"/>
        <member name=""/>
        <member name=""/>
        <member name="[Classes].[Prestation ID].&amp;[PRESTA040]"/>
        <member name=""/>
        <member name=""/>
        <member name=""/>
        <member name=""/>
        <member name="[Classes].[Prestation ID].&amp;[PRESTA048]"/>
        <member name=""/>
        <member name=""/>
        <member name=""/>
        <member name=""/>
        <member name=""/>
        <member name="[Classes].[Prestation ID].&amp;[PRESTA060]"/>
        <member name="[Classes].[Prestation ID].&amp;[PRESTA062]"/>
        <member name=""/>
        <member name=""/>
        <member name=""/>
        <member name="[Classes].[Prestation ID].&amp;[PRESTA067]"/>
        <member name="[Classes].[Prestation ID].&amp;[PRESTA069]"/>
        <member name="[Classes].[Prestation ID].&amp;[PRESTA070]"/>
        <member name=""/>
        <member name="[Classes].[Prestation ID].&amp;[PRESTA072]"/>
        <member name="[Classes].[Prestation ID].&amp;[PRESTA073]"/>
        <member name="[Classes].[Prestation ID].&amp;[PRESTA074]"/>
        <member name=""/>
        <member name=""/>
        <member name="[Classes].[Prestation ID].&amp;[PRESTA080]"/>
        <member name="[Classes].[Prestation ID].&amp;[PRESTA081]"/>
        <member name=""/>
        <member name=""/>
        <member name=""/>
        <member name=""/>
        <member name=""/>
        <member name="[Classes].[Prestation ID].&amp;[PRESTA090]"/>
        <member name="[Classes].[Prestation ID].&amp;[PRESTA091]"/>
        <member name="[Classes].[Prestation ID].&amp;[PRESTA093]"/>
        <member name="[Classes].[Prestation ID].&amp;[PRESTA095]"/>
        <member name="[Classes].[Prestation ID].&amp;[PRESTA096]"/>
        <member name="[Classes].[Prestation ID].&amp;[PRESTA097]"/>
        <member name="[Classes].[Prestation ID].&amp;[PRESTA098]"/>
        <member name=""/>
        <member name="[Classes].[Prestation ID].&amp;[PRESTA102]"/>
        <member name="[Classes].[Prestation ID].&amp;[PRESTA103]"/>
        <member name=""/>
        <member name=""/>
        <member name="[Classes].[Prestation ID].&amp;[PRESTA109]"/>
        <member name=""/>
        <member name="[Classes].[Prestation ID].&amp;[PRESTA116]"/>
        <member name="[Classes].[Prestation ID].&amp;[PRESTA117]"/>
        <member name=""/>
        <member name=""/>
        <member name="[Classes].[Prestation ID].&amp;[PRESTA120]"/>
        <member name=""/>
        <member name="[Classes].[Prestation ID].&amp;[PRESTA122]"/>
        <member name="[Classes].[Prestation ID].&amp;[PRESTA123]"/>
        <member name=""/>
        <member name=""/>
        <member name=""/>
        <member name=""/>
        <member name="[Classes].[Prestation ID].&amp;[PRESTA130]"/>
        <member name=""/>
        <member name=""/>
        <member name=""/>
        <member name=""/>
        <member name="[Classes].[Prestation ID].&amp;[PRESTA135]"/>
        <member name=""/>
        <member name=""/>
        <member name=""/>
        <member name="[Classes].[Prestation ID].&amp;[PRESTA142]"/>
        <member name=""/>
        <member name=""/>
        <member name=""/>
        <member name=""/>
        <member name=""/>
        <member name="[Classes].[Prestation ID].&amp;[PRESTA148]"/>
        <member name=""/>
        <member name="[Classes].[Prestation ID].&amp;[PRESTA150]"/>
        <member name=""/>
        <member name=""/>
        <member name=""/>
        <member name="[Classes].[Prestation ID].&amp;[PRESTA156]"/>
        <member name=""/>
        <member name=""/>
        <member name="[Classes].[Prestation ID].&amp;[PRESTA162]"/>
        <member name=""/>
        <member name=""/>
        <member name=""/>
        <member name=""/>
        <member name=""/>
        <member name=""/>
        <member name=""/>
        <member name="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Requête - Classes">
        <x15:activeTabTopLevelEntity name="[Clas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C4617-9B8F-4D3E-B94F-4B2320081EAC}">
  <dimension ref="A1:H15"/>
  <sheetViews>
    <sheetView workbookViewId="0">
      <selection activeCell="C1" sqref="C1:H1"/>
    </sheetView>
  </sheetViews>
  <sheetFormatPr baseColWidth="10" defaultColWidth="11.42578125" defaultRowHeight="15" x14ac:dyDescent="0.25"/>
  <sheetData>
    <row r="1" spans="1:8" s="1" customFormat="1" ht="26.1" customHeight="1" x14ac:dyDescent="0.25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1" t="s">
        <v>5</v>
      </c>
    </row>
    <row r="2" spans="1:8" s="1" customFormat="1" x14ac:dyDescent="0.25">
      <c r="A2" s="12" t="s">
        <v>6</v>
      </c>
      <c r="B2" s="1" t="s">
        <v>7</v>
      </c>
      <c r="C2" s="1">
        <v>30</v>
      </c>
      <c r="D2" s="1">
        <v>20</v>
      </c>
      <c r="E2" s="1">
        <v>16</v>
      </c>
      <c r="F2" s="3">
        <f>+D2/C2</f>
        <v>0.66666666666666663</v>
      </c>
      <c r="G2" s="3">
        <f>+E2/D2</f>
        <v>0.8</v>
      </c>
      <c r="H2" s="3">
        <f>+E2/C2</f>
        <v>0.53333333333333333</v>
      </c>
    </row>
    <row r="3" spans="1:8" s="1" customFormat="1" x14ac:dyDescent="0.25">
      <c r="A3" s="12"/>
      <c r="B3" s="1" t="s">
        <v>8</v>
      </c>
      <c r="C3" s="1">
        <v>25</v>
      </c>
      <c r="D3" s="1">
        <v>20</v>
      </c>
      <c r="E3" s="1">
        <v>10</v>
      </c>
      <c r="F3" s="3">
        <f>+D3/C3</f>
        <v>0.8</v>
      </c>
      <c r="G3" s="3">
        <f>+E3/D3</f>
        <v>0.5</v>
      </c>
      <c r="H3" s="3">
        <f>+E3/C3</f>
        <v>0.4</v>
      </c>
    </row>
    <row r="4" spans="1:8" s="1" customFormat="1" x14ac:dyDescent="0.25">
      <c r="A4" s="12"/>
      <c r="B4" s="1" t="s">
        <v>9</v>
      </c>
      <c r="C4" s="1">
        <v>26</v>
      </c>
    </row>
    <row r="5" spans="1:8" s="1" customFormat="1" x14ac:dyDescent="0.25">
      <c r="A5" s="12"/>
      <c r="B5" s="1" t="s">
        <v>10</v>
      </c>
    </row>
    <row r="6" spans="1:8" s="1" customFormat="1" x14ac:dyDescent="0.25">
      <c r="A6" s="12"/>
      <c r="B6" s="1" t="s">
        <v>11</v>
      </c>
    </row>
    <row r="7" spans="1:8" s="1" customFormat="1" x14ac:dyDescent="0.25">
      <c r="A7" s="12"/>
      <c r="B7" s="1" t="s">
        <v>12</v>
      </c>
    </row>
    <row r="8" spans="1:8" s="1" customFormat="1" x14ac:dyDescent="0.25">
      <c r="A8" s="12"/>
      <c r="B8" s="1" t="s">
        <v>13</v>
      </c>
    </row>
    <row r="9" spans="1:8" s="1" customFormat="1" x14ac:dyDescent="0.25">
      <c r="A9" s="12" t="s">
        <v>14</v>
      </c>
      <c r="B9" s="1" t="s">
        <v>15</v>
      </c>
    </row>
    <row r="10" spans="1:8" s="1" customFormat="1" x14ac:dyDescent="0.25">
      <c r="A10" s="12"/>
      <c r="B10" s="1" t="s">
        <v>16</v>
      </c>
    </row>
    <row r="11" spans="1:8" s="1" customFormat="1" x14ac:dyDescent="0.25">
      <c r="A11" s="12"/>
      <c r="B11" s="1" t="s">
        <v>17</v>
      </c>
    </row>
    <row r="12" spans="1:8" s="1" customFormat="1" x14ac:dyDescent="0.25">
      <c r="A12" s="12"/>
      <c r="B12" s="1" t="s">
        <v>18</v>
      </c>
    </row>
    <row r="13" spans="1:8" s="1" customFormat="1" x14ac:dyDescent="0.25">
      <c r="A13" s="12"/>
      <c r="B13" s="1" t="s">
        <v>19</v>
      </c>
    </row>
    <row r="14" spans="1:8" s="1" customFormat="1" x14ac:dyDescent="0.25">
      <c r="A14" s="12"/>
      <c r="B14" s="1" t="s">
        <v>20</v>
      </c>
    </row>
    <row r="15" spans="1:8" s="1" customFormat="1" x14ac:dyDescent="0.25">
      <c r="A15" s="12"/>
      <c r="B15" s="1" t="s">
        <v>21</v>
      </c>
    </row>
  </sheetData>
  <mergeCells count="2">
    <mergeCell ref="A2:A8"/>
    <mergeCell ref="A9:A15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4C477-3D7D-4A3D-9566-96A5DB4DF77F}">
  <dimension ref="A1:I229"/>
  <sheetViews>
    <sheetView workbookViewId="0">
      <selection activeCell="I3" sqref="I3"/>
    </sheetView>
  </sheetViews>
  <sheetFormatPr baseColWidth="10" defaultRowHeight="15" x14ac:dyDescent="0.25"/>
  <cols>
    <col min="2" max="2" width="29.85546875" bestFit="1" customWidth="1"/>
    <col min="3" max="3" width="10.85546875" bestFit="1" customWidth="1"/>
    <col min="4" max="4" width="14.5703125" bestFit="1" customWidth="1"/>
    <col min="5" max="5" width="17.42578125" bestFit="1" customWidth="1"/>
    <col min="6" max="6" width="16.42578125" bestFit="1" customWidth="1"/>
    <col min="7" max="7" width="16.85546875" bestFit="1" customWidth="1"/>
    <col min="8" max="8" width="19.42578125" bestFit="1" customWidth="1"/>
    <col min="9" max="9" width="16.85546875" bestFit="1" customWidth="1"/>
    <col min="10" max="10" width="19.42578125" bestFit="1" customWidth="1"/>
    <col min="11" max="11" width="16.85546875" bestFit="1" customWidth="1"/>
    <col min="12" max="12" width="19.42578125" bestFit="1" customWidth="1"/>
    <col min="13" max="13" width="16.85546875" bestFit="1" customWidth="1"/>
    <col min="14" max="14" width="19.42578125" bestFit="1" customWidth="1"/>
  </cols>
  <sheetData>
    <row r="1" spans="1:9" x14ac:dyDescent="0.25">
      <c r="B1" t="s">
        <v>331</v>
      </c>
      <c r="C1" t="s" vm="1">
        <v>332</v>
      </c>
    </row>
    <row r="3" spans="1:9" ht="45" x14ac:dyDescent="0.25">
      <c r="B3" s="7" t="s">
        <v>320</v>
      </c>
      <c r="C3" s="7" t="s">
        <v>321</v>
      </c>
      <c r="D3" s="15" t="s">
        <v>369</v>
      </c>
      <c r="E3" s="15" t="s">
        <v>1</v>
      </c>
      <c r="F3" s="15" t="s">
        <v>370</v>
      </c>
      <c r="G3" s="15" t="s">
        <v>371</v>
      </c>
      <c r="H3" s="15" t="s">
        <v>372</v>
      </c>
      <c r="I3" s="15" t="s">
        <v>5</v>
      </c>
    </row>
    <row r="4" spans="1:9" x14ac:dyDescent="0.25">
      <c r="A4">
        <v>1</v>
      </c>
      <c r="B4" s="5" t="s">
        <v>22</v>
      </c>
      <c r="C4" s="5" t="s">
        <v>96</v>
      </c>
    </row>
    <row r="5" spans="1:9" x14ac:dyDescent="0.25">
      <c r="A5">
        <f>1+A4</f>
        <v>2</v>
      </c>
      <c r="B5" s="5" t="s">
        <v>23</v>
      </c>
      <c r="C5" s="5" t="s">
        <v>97</v>
      </c>
    </row>
    <row r="6" spans="1:9" x14ac:dyDescent="0.25">
      <c r="A6">
        <f t="shared" ref="A6:A69" si="0">1+A5</f>
        <v>3</v>
      </c>
      <c r="B6" s="5" t="s">
        <v>23</v>
      </c>
      <c r="C6" s="5" t="s">
        <v>98</v>
      </c>
    </row>
    <row r="7" spans="1:9" x14ac:dyDescent="0.25">
      <c r="A7">
        <f t="shared" si="0"/>
        <v>4</v>
      </c>
      <c r="B7" s="5" t="s">
        <v>23</v>
      </c>
      <c r="C7" s="5" t="s">
        <v>99</v>
      </c>
    </row>
    <row r="8" spans="1:9" x14ac:dyDescent="0.25">
      <c r="A8">
        <f t="shared" si="0"/>
        <v>5</v>
      </c>
      <c r="B8" s="5" t="s">
        <v>23</v>
      </c>
      <c r="C8" s="5" t="s">
        <v>100</v>
      </c>
    </row>
    <row r="9" spans="1:9" x14ac:dyDescent="0.25">
      <c r="A9">
        <f t="shared" si="0"/>
        <v>6</v>
      </c>
      <c r="B9" s="5" t="s">
        <v>23</v>
      </c>
      <c r="C9" s="5" t="s">
        <v>101</v>
      </c>
    </row>
    <row r="10" spans="1:9" x14ac:dyDescent="0.25">
      <c r="A10">
        <f t="shared" si="0"/>
        <v>7</v>
      </c>
      <c r="B10" s="5" t="s">
        <v>23</v>
      </c>
      <c r="C10" s="5" t="s">
        <v>102</v>
      </c>
    </row>
    <row r="11" spans="1:9" x14ac:dyDescent="0.25">
      <c r="A11">
        <f t="shared" si="0"/>
        <v>8</v>
      </c>
      <c r="B11" s="5" t="s">
        <v>23</v>
      </c>
      <c r="C11" s="5" t="s">
        <v>103</v>
      </c>
    </row>
    <row r="12" spans="1:9" x14ac:dyDescent="0.25">
      <c r="A12">
        <f t="shared" si="0"/>
        <v>9</v>
      </c>
      <c r="B12" s="5" t="s">
        <v>23</v>
      </c>
      <c r="C12" s="5" t="s">
        <v>104</v>
      </c>
    </row>
    <row r="13" spans="1:9" x14ac:dyDescent="0.25">
      <c r="A13">
        <f t="shared" si="0"/>
        <v>10</v>
      </c>
      <c r="B13" s="5" t="s">
        <v>23</v>
      </c>
      <c r="C13" s="5" t="s">
        <v>105</v>
      </c>
    </row>
    <row r="14" spans="1:9" x14ac:dyDescent="0.25">
      <c r="A14">
        <f t="shared" si="0"/>
        <v>11</v>
      </c>
      <c r="B14" s="5" t="s">
        <v>23</v>
      </c>
      <c r="C14" s="5" t="s">
        <v>106</v>
      </c>
    </row>
    <row r="15" spans="1:9" x14ac:dyDescent="0.25">
      <c r="A15">
        <f t="shared" si="0"/>
        <v>12</v>
      </c>
      <c r="B15" s="5" t="s">
        <v>23</v>
      </c>
      <c r="C15" s="5" t="s">
        <v>107</v>
      </c>
    </row>
    <row r="16" spans="1:9" x14ac:dyDescent="0.25">
      <c r="A16">
        <f t="shared" si="0"/>
        <v>13</v>
      </c>
      <c r="B16" s="5" t="s">
        <v>23</v>
      </c>
      <c r="C16" s="5" t="s">
        <v>108</v>
      </c>
    </row>
    <row r="17" spans="1:3" x14ac:dyDescent="0.25">
      <c r="A17">
        <f t="shared" si="0"/>
        <v>14</v>
      </c>
      <c r="B17" s="5" t="s">
        <v>23</v>
      </c>
      <c r="C17" s="5" t="s">
        <v>109</v>
      </c>
    </row>
    <row r="18" spans="1:3" x14ac:dyDescent="0.25">
      <c r="A18">
        <f t="shared" si="0"/>
        <v>15</v>
      </c>
      <c r="B18" s="5" t="s">
        <v>23</v>
      </c>
      <c r="C18" s="5" t="s">
        <v>110</v>
      </c>
    </row>
    <row r="19" spans="1:3" x14ac:dyDescent="0.25">
      <c r="A19">
        <f t="shared" si="0"/>
        <v>16</v>
      </c>
      <c r="B19" s="5" t="s">
        <v>23</v>
      </c>
      <c r="C19" s="5" t="s">
        <v>111</v>
      </c>
    </row>
    <row r="20" spans="1:3" x14ac:dyDescent="0.25">
      <c r="A20">
        <f t="shared" si="0"/>
        <v>17</v>
      </c>
      <c r="B20" s="5" t="s">
        <v>23</v>
      </c>
      <c r="C20" s="5" t="s">
        <v>112</v>
      </c>
    </row>
    <row r="21" spans="1:3" x14ac:dyDescent="0.25">
      <c r="A21">
        <f t="shared" si="0"/>
        <v>18</v>
      </c>
      <c r="B21" s="5" t="s">
        <v>23</v>
      </c>
      <c r="C21" s="5" t="s">
        <v>113</v>
      </c>
    </row>
    <row r="22" spans="1:3" x14ac:dyDescent="0.25">
      <c r="A22">
        <f t="shared" si="0"/>
        <v>19</v>
      </c>
      <c r="B22" s="5" t="s">
        <v>23</v>
      </c>
      <c r="C22" s="5" t="s">
        <v>114</v>
      </c>
    </row>
    <row r="23" spans="1:3" x14ac:dyDescent="0.25">
      <c r="A23">
        <f t="shared" si="0"/>
        <v>20</v>
      </c>
      <c r="B23" s="5" t="s">
        <v>23</v>
      </c>
      <c r="C23" s="5" t="s">
        <v>115</v>
      </c>
    </row>
    <row r="24" spans="1:3" x14ac:dyDescent="0.25">
      <c r="A24">
        <f t="shared" si="0"/>
        <v>21</v>
      </c>
      <c r="B24" s="5" t="s">
        <v>23</v>
      </c>
      <c r="C24" s="5" t="s">
        <v>116</v>
      </c>
    </row>
    <row r="25" spans="1:3" x14ac:dyDescent="0.25">
      <c r="A25">
        <f t="shared" si="0"/>
        <v>22</v>
      </c>
      <c r="B25" s="5" t="s">
        <v>23</v>
      </c>
      <c r="C25" s="5" t="s">
        <v>117</v>
      </c>
    </row>
    <row r="26" spans="1:3" x14ac:dyDescent="0.25">
      <c r="A26">
        <f t="shared" si="0"/>
        <v>23</v>
      </c>
      <c r="B26" s="5" t="s">
        <v>24</v>
      </c>
      <c r="C26" s="5" t="s">
        <v>118</v>
      </c>
    </row>
    <row r="27" spans="1:3" x14ac:dyDescent="0.25">
      <c r="A27">
        <f t="shared" si="0"/>
        <v>24</v>
      </c>
      <c r="B27" s="5" t="s">
        <v>25</v>
      </c>
      <c r="C27" s="5" t="s">
        <v>119</v>
      </c>
    </row>
    <row r="28" spans="1:3" x14ac:dyDescent="0.25">
      <c r="A28">
        <f t="shared" si="0"/>
        <v>25</v>
      </c>
      <c r="B28" s="5" t="s">
        <v>26</v>
      </c>
      <c r="C28" s="5" t="s">
        <v>120</v>
      </c>
    </row>
    <row r="29" spans="1:3" x14ac:dyDescent="0.25">
      <c r="A29">
        <f t="shared" si="0"/>
        <v>26</v>
      </c>
      <c r="B29" s="5" t="s">
        <v>26</v>
      </c>
      <c r="C29" s="5" t="s">
        <v>121</v>
      </c>
    </row>
    <row r="30" spans="1:3" x14ac:dyDescent="0.25">
      <c r="A30">
        <f t="shared" si="0"/>
        <v>27</v>
      </c>
      <c r="B30" s="5" t="s">
        <v>26</v>
      </c>
      <c r="C30" s="5" t="s">
        <v>122</v>
      </c>
    </row>
    <row r="31" spans="1:3" x14ac:dyDescent="0.25">
      <c r="A31">
        <f t="shared" si="0"/>
        <v>28</v>
      </c>
      <c r="B31" s="5" t="s">
        <v>26</v>
      </c>
      <c r="C31" s="5" t="s">
        <v>123</v>
      </c>
    </row>
    <row r="32" spans="1:3" x14ac:dyDescent="0.25">
      <c r="A32">
        <f t="shared" si="0"/>
        <v>29</v>
      </c>
      <c r="B32" s="5" t="s">
        <v>26</v>
      </c>
      <c r="C32" s="5" t="s">
        <v>124</v>
      </c>
    </row>
    <row r="33" spans="1:3" x14ac:dyDescent="0.25">
      <c r="A33">
        <f t="shared" si="0"/>
        <v>30</v>
      </c>
      <c r="B33" s="5" t="s">
        <v>26</v>
      </c>
      <c r="C33" s="5" t="s">
        <v>125</v>
      </c>
    </row>
    <row r="34" spans="1:3" x14ac:dyDescent="0.25">
      <c r="A34">
        <f t="shared" si="0"/>
        <v>31</v>
      </c>
      <c r="B34" s="5" t="s">
        <v>26</v>
      </c>
      <c r="C34" s="5" t="s">
        <v>126</v>
      </c>
    </row>
    <row r="35" spans="1:3" x14ac:dyDescent="0.25">
      <c r="A35">
        <f t="shared" si="0"/>
        <v>32</v>
      </c>
      <c r="B35" s="5" t="s">
        <v>26</v>
      </c>
      <c r="C35" s="5" t="s">
        <v>127</v>
      </c>
    </row>
    <row r="36" spans="1:3" x14ac:dyDescent="0.25">
      <c r="A36">
        <f t="shared" si="0"/>
        <v>33</v>
      </c>
      <c r="B36" s="5" t="s">
        <v>26</v>
      </c>
      <c r="C36" s="5" t="s">
        <v>128</v>
      </c>
    </row>
    <row r="37" spans="1:3" x14ac:dyDescent="0.25">
      <c r="A37">
        <f t="shared" si="0"/>
        <v>34</v>
      </c>
      <c r="B37" s="5" t="s">
        <v>26</v>
      </c>
      <c r="C37" s="5" t="s">
        <v>129</v>
      </c>
    </row>
    <row r="38" spans="1:3" x14ac:dyDescent="0.25">
      <c r="A38">
        <f t="shared" si="0"/>
        <v>35</v>
      </c>
      <c r="B38" s="5" t="s">
        <v>26</v>
      </c>
      <c r="C38" s="5" t="s">
        <v>130</v>
      </c>
    </row>
    <row r="39" spans="1:3" x14ac:dyDescent="0.25">
      <c r="A39">
        <f t="shared" si="0"/>
        <v>36</v>
      </c>
      <c r="B39" s="5" t="s">
        <v>26</v>
      </c>
      <c r="C39" s="5" t="s">
        <v>131</v>
      </c>
    </row>
    <row r="40" spans="1:3" x14ac:dyDescent="0.25">
      <c r="A40">
        <f t="shared" si="0"/>
        <v>37</v>
      </c>
      <c r="B40" s="5" t="s">
        <v>26</v>
      </c>
      <c r="C40" s="5" t="s">
        <v>132</v>
      </c>
    </row>
    <row r="41" spans="1:3" x14ac:dyDescent="0.25">
      <c r="A41">
        <f t="shared" si="0"/>
        <v>38</v>
      </c>
      <c r="B41" s="5" t="s">
        <v>26</v>
      </c>
      <c r="C41" s="5" t="s">
        <v>133</v>
      </c>
    </row>
    <row r="42" spans="1:3" x14ac:dyDescent="0.25">
      <c r="A42">
        <f t="shared" si="0"/>
        <v>39</v>
      </c>
      <c r="B42" s="5" t="s">
        <v>26</v>
      </c>
      <c r="C42" s="5" t="s">
        <v>134</v>
      </c>
    </row>
    <row r="43" spans="1:3" x14ac:dyDescent="0.25">
      <c r="A43">
        <f t="shared" si="0"/>
        <v>40</v>
      </c>
      <c r="B43" s="5" t="s">
        <v>27</v>
      </c>
      <c r="C43" s="5" t="s">
        <v>135</v>
      </c>
    </row>
    <row r="44" spans="1:3" x14ac:dyDescent="0.25">
      <c r="A44">
        <f t="shared" si="0"/>
        <v>41</v>
      </c>
      <c r="B44" s="5" t="s">
        <v>27</v>
      </c>
      <c r="C44" s="5" t="s">
        <v>136</v>
      </c>
    </row>
    <row r="45" spans="1:3" x14ac:dyDescent="0.25">
      <c r="A45">
        <f t="shared" si="0"/>
        <v>42</v>
      </c>
      <c r="B45" s="5" t="s">
        <v>27</v>
      </c>
      <c r="C45" s="5" t="s">
        <v>137</v>
      </c>
    </row>
    <row r="46" spans="1:3" x14ac:dyDescent="0.25">
      <c r="A46">
        <f t="shared" si="0"/>
        <v>43</v>
      </c>
      <c r="B46" s="5" t="s">
        <v>27</v>
      </c>
      <c r="C46" s="5" t="s">
        <v>138</v>
      </c>
    </row>
    <row r="47" spans="1:3" x14ac:dyDescent="0.25">
      <c r="A47">
        <f t="shared" si="0"/>
        <v>44</v>
      </c>
      <c r="B47" s="5" t="s">
        <v>27</v>
      </c>
      <c r="C47" s="5" t="s">
        <v>139</v>
      </c>
    </row>
    <row r="48" spans="1:3" x14ac:dyDescent="0.25">
      <c r="A48">
        <f t="shared" si="0"/>
        <v>45</v>
      </c>
      <c r="B48" s="5" t="s">
        <v>27</v>
      </c>
      <c r="C48" s="5" t="s">
        <v>140</v>
      </c>
    </row>
    <row r="49" spans="1:3" x14ac:dyDescent="0.25">
      <c r="A49">
        <f t="shared" si="0"/>
        <v>46</v>
      </c>
      <c r="B49" s="5" t="s">
        <v>27</v>
      </c>
      <c r="C49" s="5" t="s">
        <v>141</v>
      </c>
    </row>
    <row r="50" spans="1:3" x14ac:dyDescent="0.25">
      <c r="A50">
        <f t="shared" si="0"/>
        <v>47</v>
      </c>
      <c r="B50" s="5" t="s">
        <v>27</v>
      </c>
      <c r="C50" s="5" t="s">
        <v>142</v>
      </c>
    </row>
    <row r="51" spans="1:3" x14ac:dyDescent="0.25">
      <c r="A51">
        <f t="shared" si="0"/>
        <v>48</v>
      </c>
      <c r="B51" s="5" t="s">
        <v>27</v>
      </c>
      <c r="C51" s="5" t="s">
        <v>143</v>
      </c>
    </row>
    <row r="52" spans="1:3" x14ac:dyDescent="0.25">
      <c r="A52">
        <f t="shared" si="0"/>
        <v>49</v>
      </c>
      <c r="B52" s="5" t="s">
        <v>27</v>
      </c>
      <c r="C52" s="5" t="s">
        <v>144</v>
      </c>
    </row>
    <row r="53" spans="1:3" x14ac:dyDescent="0.25">
      <c r="A53">
        <f t="shared" si="0"/>
        <v>50</v>
      </c>
      <c r="B53" s="5" t="s">
        <v>27</v>
      </c>
      <c r="C53" s="5" t="s">
        <v>145</v>
      </c>
    </row>
    <row r="54" spans="1:3" x14ac:dyDescent="0.25">
      <c r="A54">
        <f t="shared" si="0"/>
        <v>51</v>
      </c>
      <c r="B54" s="5" t="s">
        <v>27</v>
      </c>
      <c r="C54" s="5" t="s">
        <v>146</v>
      </c>
    </row>
    <row r="55" spans="1:3" x14ac:dyDescent="0.25">
      <c r="A55">
        <f t="shared" si="0"/>
        <v>52</v>
      </c>
      <c r="B55" s="5" t="s">
        <v>27</v>
      </c>
      <c r="C55" s="5" t="s">
        <v>147</v>
      </c>
    </row>
    <row r="56" spans="1:3" x14ac:dyDescent="0.25">
      <c r="A56">
        <f t="shared" si="0"/>
        <v>53</v>
      </c>
      <c r="B56" s="5" t="s">
        <v>27</v>
      </c>
      <c r="C56" s="5" t="s">
        <v>148</v>
      </c>
    </row>
    <row r="57" spans="1:3" x14ac:dyDescent="0.25">
      <c r="A57">
        <f t="shared" si="0"/>
        <v>54</v>
      </c>
      <c r="B57" s="5" t="s">
        <v>27</v>
      </c>
      <c r="C57" s="5" t="s">
        <v>149</v>
      </c>
    </row>
    <row r="58" spans="1:3" x14ac:dyDescent="0.25">
      <c r="A58">
        <f t="shared" si="0"/>
        <v>55</v>
      </c>
      <c r="B58" s="5" t="s">
        <v>27</v>
      </c>
      <c r="C58" s="5" t="s">
        <v>150</v>
      </c>
    </row>
    <row r="59" spans="1:3" x14ac:dyDescent="0.25">
      <c r="A59">
        <f t="shared" si="0"/>
        <v>56</v>
      </c>
      <c r="B59" s="5" t="s">
        <v>28</v>
      </c>
      <c r="C59" s="5" t="s">
        <v>151</v>
      </c>
    </row>
    <row r="60" spans="1:3" x14ac:dyDescent="0.25">
      <c r="A60">
        <f t="shared" si="0"/>
        <v>57</v>
      </c>
      <c r="B60" s="5" t="s">
        <v>28</v>
      </c>
      <c r="C60" s="5" t="s">
        <v>152</v>
      </c>
    </row>
    <row r="61" spans="1:3" x14ac:dyDescent="0.25">
      <c r="A61">
        <f t="shared" si="0"/>
        <v>58</v>
      </c>
      <c r="B61" s="5" t="s">
        <v>29</v>
      </c>
      <c r="C61" s="5" t="s">
        <v>153</v>
      </c>
    </row>
    <row r="62" spans="1:3" x14ac:dyDescent="0.25">
      <c r="A62">
        <f t="shared" si="0"/>
        <v>59</v>
      </c>
      <c r="B62" s="5" t="s">
        <v>30</v>
      </c>
      <c r="C62" s="5" t="s">
        <v>154</v>
      </c>
    </row>
    <row r="63" spans="1:3" x14ac:dyDescent="0.25">
      <c r="A63">
        <f t="shared" si="0"/>
        <v>60</v>
      </c>
      <c r="B63" s="5" t="s">
        <v>30</v>
      </c>
      <c r="C63" s="5" t="s">
        <v>155</v>
      </c>
    </row>
    <row r="64" spans="1:3" x14ac:dyDescent="0.25">
      <c r="A64">
        <f t="shared" si="0"/>
        <v>61</v>
      </c>
      <c r="B64" s="5" t="s">
        <v>31</v>
      </c>
      <c r="C64" s="5" t="s">
        <v>156</v>
      </c>
    </row>
    <row r="65" spans="1:3" x14ac:dyDescent="0.25">
      <c r="A65">
        <f t="shared" si="0"/>
        <v>62</v>
      </c>
      <c r="B65" s="5" t="s">
        <v>32</v>
      </c>
      <c r="C65" s="5" t="s">
        <v>157</v>
      </c>
    </row>
    <row r="66" spans="1:3" x14ac:dyDescent="0.25">
      <c r="A66">
        <f t="shared" si="0"/>
        <v>63</v>
      </c>
      <c r="B66" s="5" t="s">
        <v>32</v>
      </c>
      <c r="C66" s="5" t="s">
        <v>158</v>
      </c>
    </row>
    <row r="67" spans="1:3" x14ac:dyDescent="0.25">
      <c r="A67">
        <f t="shared" si="0"/>
        <v>64</v>
      </c>
      <c r="B67" s="5" t="s">
        <v>33</v>
      </c>
      <c r="C67" s="5" t="s">
        <v>159</v>
      </c>
    </row>
    <row r="68" spans="1:3" x14ac:dyDescent="0.25">
      <c r="A68">
        <f t="shared" si="0"/>
        <v>65</v>
      </c>
      <c r="B68" s="5" t="s">
        <v>33</v>
      </c>
      <c r="C68" s="5" t="s">
        <v>160</v>
      </c>
    </row>
    <row r="69" spans="1:3" x14ac:dyDescent="0.25">
      <c r="A69">
        <f t="shared" si="0"/>
        <v>66</v>
      </c>
      <c r="B69" s="5" t="s">
        <v>34</v>
      </c>
      <c r="C69" s="5" t="s">
        <v>161</v>
      </c>
    </row>
    <row r="70" spans="1:3" x14ac:dyDescent="0.25">
      <c r="A70">
        <f t="shared" ref="A70:A133" si="1">1+A69</f>
        <v>67</v>
      </c>
      <c r="B70" s="5" t="s">
        <v>34</v>
      </c>
      <c r="C70" s="5" t="s">
        <v>162</v>
      </c>
    </row>
    <row r="71" spans="1:3" x14ac:dyDescent="0.25">
      <c r="A71">
        <f t="shared" si="1"/>
        <v>68</v>
      </c>
      <c r="B71" s="5" t="s">
        <v>34</v>
      </c>
      <c r="C71" s="5" t="s">
        <v>163</v>
      </c>
    </row>
    <row r="72" spans="1:3" x14ac:dyDescent="0.25">
      <c r="A72">
        <f t="shared" si="1"/>
        <v>69</v>
      </c>
      <c r="B72" s="5" t="s">
        <v>34</v>
      </c>
      <c r="C72" s="5" t="s">
        <v>164</v>
      </c>
    </row>
    <row r="73" spans="1:3" x14ac:dyDescent="0.25">
      <c r="A73">
        <f t="shared" si="1"/>
        <v>70</v>
      </c>
      <c r="B73" s="5" t="s">
        <v>34</v>
      </c>
      <c r="C73" s="5" t="s">
        <v>165</v>
      </c>
    </row>
    <row r="74" spans="1:3" x14ac:dyDescent="0.25">
      <c r="A74">
        <f t="shared" si="1"/>
        <v>71</v>
      </c>
      <c r="B74" s="5" t="s">
        <v>34</v>
      </c>
      <c r="C74" s="5" t="s">
        <v>166</v>
      </c>
    </row>
    <row r="75" spans="1:3" x14ac:dyDescent="0.25">
      <c r="A75">
        <f t="shared" si="1"/>
        <v>72</v>
      </c>
      <c r="B75" s="5" t="s">
        <v>34</v>
      </c>
      <c r="C75" s="5" t="s">
        <v>167</v>
      </c>
    </row>
    <row r="76" spans="1:3" x14ac:dyDescent="0.25">
      <c r="A76">
        <f t="shared" si="1"/>
        <v>73</v>
      </c>
      <c r="B76" s="5" t="s">
        <v>34</v>
      </c>
      <c r="C76" s="5" t="s">
        <v>168</v>
      </c>
    </row>
    <row r="77" spans="1:3" x14ac:dyDescent="0.25">
      <c r="A77">
        <f t="shared" si="1"/>
        <v>74</v>
      </c>
      <c r="B77" s="5" t="s">
        <v>34</v>
      </c>
      <c r="C77" s="5" t="s">
        <v>169</v>
      </c>
    </row>
    <row r="78" spans="1:3" x14ac:dyDescent="0.25">
      <c r="A78">
        <f t="shared" si="1"/>
        <v>75</v>
      </c>
      <c r="B78" s="5" t="s">
        <v>34</v>
      </c>
      <c r="C78" s="5" t="s">
        <v>170</v>
      </c>
    </row>
    <row r="79" spans="1:3" x14ac:dyDescent="0.25">
      <c r="A79">
        <f t="shared" si="1"/>
        <v>76</v>
      </c>
      <c r="B79" s="5" t="s">
        <v>35</v>
      </c>
      <c r="C79" s="5" t="s">
        <v>171</v>
      </c>
    </row>
    <row r="80" spans="1:3" x14ac:dyDescent="0.25">
      <c r="A80">
        <f t="shared" si="1"/>
        <v>77</v>
      </c>
      <c r="B80" s="5" t="s">
        <v>35</v>
      </c>
      <c r="C80" s="5" t="s">
        <v>172</v>
      </c>
    </row>
    <row r="81" spans="1:3" x14ac:dyDescent="0.25">
      <c r="A81">
        <f t="shared" si="1"/>
        <v>78</v>
      </c>
      <c r="B81" s="5" t="s">
        <v>36</v>
      </c>
      <c r="C81" s="5" t="s">
        <v>173</v>
      </c>
    </row>
    <row r="82" spans="1:3" x14ac:dyDescent="0.25">
      <c r="A82">
        <f t="shared" si="1"/>
        <v>79</v>
      </c>
      <c r="B82" s="5" t="s">
        <v>36</v>
      </c>
      <c r="C82" s="5" t="s">
        <v>174</v>
      </c>
    </row>
    <row r="83" spans="1:3" x14ac:dyDescent="0.25">
      <c r="A83">
        <f t="shared" si="1"/>
        <v>80</v>
      </c>
      <c r="B83" s="5" t="s">
        <v>36</v>
      </c>
      <c r="C83" s="5" t="s">
        <v>175</v>
      </c>
    </row>
    <row r="84" spans="1:3" x14ac:dyDescent="0.25">
      <c r="A84">
        <f t="shared" si="1"/>
        <v>81</v>
      </c>
      <c r="B84" s="5" t="s">
        <v>36</v>
      </c>
      <c r="C84" s="5" t="s">
        <v>176</v>
      </c>
    </row>
    <row r="85" spans="1:3" x14ac:dyDescent="0.25">
      <c r="A85">
        <f t="shared" si="1"/>
        <v>82</v>
      </c>
      <c r="B85" s="5" t="s">
        <v>36</v>
      </c>
      <c r="C85" s="5" t="s">
        <v>177</v>
      </c>
    </row>
    <row r="86" spans="1:3" x14ac:dyDescent="0.25">
      <c r="A86">
        <f t="shared" si="1"/>
        <v>83</v>
      </c>
      <c r="B86" s="5" t="s">
        <v>37</v>
      </c>
      <c r="C86" s="5" t="s">
        <v>178</v>
      </c>
    </row>
    <row r="87" spans="1:3" x14ac:dyDescent="0.25">
      <c r="A87">
        <f t="shared" si="1"/>
        <v>84</v>
      </c>
      <c r="B87" s="5" t="s">
        <v>37</v>
      </c>
      <c r="C87" s="5" t="s">
        <v>179</v>
      </c>
    </row>
    <row r="88" spans="1:3" x14ac:dyDescent="0.25">
      <c r="A88">
        <f t="shared" si="1"/>
        <v>85</v>
      </c>
      <c r="B88" s="5" t="s">
        <v>37</v>
      </c>
      <c r="C88" s="5" t="s">
        <v>180</v>
      </c>
    </row>
    <row r="89" spans="1:3" x14ac:dyDescent="0.25">
      <c r="A89">
        <f t="shared" si="1"/>
        <v>86</v>
      </c>
      <c r="B89" s="5" t="s">
        <v>37</v>
      </c>
      <c r="C89" s="5" t="s">
        <v>181</v>
      </c>
    </row>
    <row r="90" spans="1:3" x14ac:dyDescent="0.25">
      <c r="A90">
        <f t="shared" si="1"/>
        <v>87</v>
      </c>
      <c r="B90" s="5" t="s">
        <v>38</v>
      </c>
      <c r="C90" s="5" t="s">
        <v>182</v>
      </c>
    </row>
    <row r="91" spans="1:3" x14ac:dyDescent="0.25">
      <c r="A91">
        <f t="shared" si="1"/>
        <v>88</v>
      </c>
      <c r="B91" s="5" t="s">
        <v>39</v>
      </c>
      <c r="C91" s="5" t="s">
        <v>183</v>
      </c>
    </row>
    <row r="92" spans="1:3" x14ac:dyDescent="0.25">
      <c r="A92">
        <f t="shared" si="1"/>
        <v>89</v>
      </c>
      <c r="B92" s="5" t="s">
        <v>40</v>
      </c>
      <c r="C92" s="5" t="s">
        <v>184</v>
      </c>
    </row>
    <row r="93" spans="1:3" x14ac:dyDescent="0.25">
      <c r="A93">
        <f t="shared" si="1"/>
        <v>90</v>
      </c>
      <c r="B93" s="5" t="s">
        <v>40</v>
      </c>
      <c r="C93" s="5" t="s">
        <v>185</v>
      </c>
    </row>
    <row r="94" spans="1:3" x14ac:dyDescent="0.25">
      <c r="A94">
        <f t="shared" si="1"/>
        <v>91</v>
      </c>
      <c r="B94" s="5" t="s">
        <v>40</v>
      </c>
      <c r="C94" s="5" t="s">
        <v>186</v>
      </c>
    </row>
    <row r="95" spans="1:3" x14ac:dyDescent="0.25">
      <c r="A95">
        <f t="shared" si="1"/>
        <v>92</v>
      </c>
      <c r="B95" s="5" t="s">
        <v>41</v>
      </c>
      <c r="C95" s="5" t="s">
        <v>187</v>
      </c>
    </row>
    <row r="96" spans="1:3" x14ac:dyDescent="0.25">
      <c r="A96">
        <f t="shared" si="1"/>
        <v>93</v>
      </c>
      <c r="B96" s="5" t="s">
        <v>41</v>
      </c>
      <c r="C96" s="5" t="s">
        <v>188</v>
      </c>
    </row>
    <row r="97" spans="1:3" x14ac:dyDescent="0.25">
      <c r="A97">
        <f t="shared" si="1"/>
        <v>94</v>
      </c>
      <c r="B97" s="5" t="s">
        <v>42</v>
      </c>
      <c r="C97" s="5" t="s">
        <v>189</v>
      </c>
    </row>
    <row r="98" spans="1:3" x14ac:dyDescent="0.25">
      <c r="A98">
        <f t="shared" si="1"/>
        <v>95</v>
      </c>
      <c r="B98" s="5" t="s">
        <v>42</v>
      </c>
      <c r="C98" s="5" t="s">
        <v>190</v>
      </c>
    </row>
    <row r="99" spans="1:3" x14ac:dyDescent="0.25">
      <c r="A99">
        <f t="shared" si="1"/>
        <v>96</v>
      </c>
      <c r="B99" s="5" t="s">
        <v>42</v>
      </c>
      <c r="C99" s="5" t="s">
        <v>191</v>
      </c>
    </row>
    <row r="100" spans="1:3" x14ac:dyDescent="0.25">
      <c r="A100">
        <f t="shared" si="1"/>
        <v>97</v>
      </c>
      <c r="B100" s="5" t="s">
        <v>42</v>
      </c>
      <c r="C100" s="5" t="s">
        <v>192</v>
      </c>
    </row>
    <row r="101" spans="1:3" x14ac:dyDescent="0.25">
      <c r="A101">
        <f t="shared" si="1"/>
        <v>98</v>
      </c>
      <c r="B101" s="5" t="s">
        <v>42</v>
      </c>
      <c r="C101" s="5" t="s">
        <v>193</v>
      </c>
    </row>
    <row r="102" spans="1:3" x14ac:dyDescent="0.25">
      <c r="A102">
        <f t="shared" si="1"/>
        <v>99</v>
      </c>
      <c r="B102" s="5" t="s">
        <v>42</v>
      </c>
      <c r="C102" s="5" t="s">
        <v>194</v>
      </c>
    </row>
    <row r="103" spans="1:3" x14ac:dyDescent="0.25">
      <c r="A103">
        <f t="shared" si="1"/>
        <v>100</v>
      </c>
      <c r="B103" s="5" t="s">
        <v>42</v>
      </c>
      <c r="C103" s="5" t="s">
        <v>195</v>
      </c>
    </row>
    <row r="104" spans="1:3" x14ac:dyDescent="0.25">
      <c r="A104">
        <f t="shared" si="1"/>
        <v>101</v>
      </c>
      <c r="B104" s="5" t="s">
        <v>42</v>
      </c>
      <c r="C104" s="5" t="s">
        <v>196</v>
      </c>
    </row>
    <row r="105" spans="1:3" x14ac:dyDescent="0.25">
      <c r="A105">
        <f t="shared" si="1"/>
        <v>102</v>
      </c>
      <c r="B105" s="5" t="s">
        <v>42</v>
      </c>
      <c r="C105" s="5" t="s">
        <v>197</v>
      </c>
    </row>
    <row r="106" spans="1:3" x14ac:dyDescent="0.25">
      <c r="A106">
        <f t="shared" si="1"/>
        <v>103</v>
      </c>
      <c r="B106" s="5" t="s">
        <v>42</v>
      </c>
      <c r="C106" s="5" t="s">
        <v>198</v>
      </c>
    </row>
    <row r="107" spans="1:3" x14ac:dyDescent="0.25">
      <c r="A107">
        <f t="shared" si="1"/>
        <v>104</v>
      </c>
      <c r="B107" s="5" t="s">
        <v>42</v>
      </c>
      <c r="C107" s="5" t="s">
        <v>199</v>
      </c>
    </row>
    <row r="108" spans="1:3" x14ac:dyDescent="0.25">
      <c r="A108">
        <f t="shared" si="1"/>
        <v>105</v>
      </c>
      <c r="B108" s="5" t="s">
        <v>43</v>
      </c>
      <c r="C108" s="5" t="s">
        <v>200</v>
      </c>
    </row>
    <row r="109" spans="1:3" x14ac:dyDescent="0.25">
      <c r="A109">
        <f t="shared" si="1"/>
        <v>106</v>
      </c>
      <c r="B109" s="5" t="s">
        <v>43</v>
      </c>
      <c r="C109" s="5" t="s">
        <v>201</v>
      </c>
    </row>
    <row r="110" spans="1:3" x14ac:dyDescent="0.25">
      <c r="A110">
        <f t="shared" si="1"/>
        <v>107</v>
      </c>
      <c r="B110" s="5" t="s">
        <v>43</v>
      </c>
      <c r="C110" s="5" t="s">
        <v>202</v>
      </c>
    </row>
    <row r="111" spans="1:3" x14ac:dyDescent="0.25">
      <c r="A111">
        <f t="shared" si="1"/>
        <v>108</v>
      </c>
      <c r="B111" s="5" t="s">
        <v>43</v>
      </c>
      <c r="C111" s="5" t="s">
        <v>203</v>
      </c>
    </row>
    <row r="112" spans="1:3" x14ac:dyDescent="0.25">
      <c r="A112">
        <f t="shared" si="1"/>
        <v>109</v>
      </c>
      <c r="B112" s="5" t="s">
        <v>43</v>
      </c>
      <c r="C112" s="5" t="s">
        <v>204</v>
      </c>
    </row>
    <row r="113" spans="1:3" x14ac:dyDescent="0.25">
      <c r="A113">
        <f t="shared" si="1"/>
        <v>110</v>
      </c>
      <c r="B113" s="5" t="s">
        <v>44</v>
      </c>
      <c r="C113" s="5" t="s">
        <v>205</v>
      </c>
    </row>
    <row r="114" spans="1:3" x14ac:dyDescent="0.25">
      <c r="A114">
        <f t="shared" si="1"/>
        <v>111</v>
      </c>
      <c r="B114" s="5" t="s">
        <v>45</v>
      </c>
      <c r="C114" s="5" t="s">
        <v>206</v>
      </c>
    </row>
    <row r="115" spans="1:3" x14ac:dyDescent="0.25">
      <c r="A115">
        <f t="shared" si="1"/>
        <v>112</v>
      </c>
      <c r="B115" s="5" t="s">
        <v>45</v>
      </c>
      <c r="C115" s="5" t="s">
        <v>207</v>
      </c>
    </row>
    <row r="116" spans="1:3" x14ac:dyDescent="0.25">
      <c r="A116">
        <f t="shared" si="1"/>
        <v>113</v>
      </c>
      <c r="B116" s="5" t="s">
        <v>45</v>
      </c>
      <c r="C116" s="5" t="s">
        <v>208</v>
      </c>
    </row>
    <row r="117" spans="1:3" x14ac:dyDescent="0.25">
      <c r="A117">
        <f t="shared" si="1"/>
        <v>114</v>
      </c>
      <c r="B117" s="5" t="s">
        <v>46</v>
      </c>
      <c r="C117" s="5" t="s">
        <v>209</v>
      </c>
    </row>
    <row r="118" spans="1:3" x14ac:dyDescent="0.25">
      <c r="A118">
        <f t="shared" si="1"/>
        <v>115</v>
      </c>
      <c r="B118" s="5" t="s">
        <v>47</v>
      </c>
      <c r="C118" s="5" t="s">
        <v>210</v>
      </c>
    </row>
    <row r="119" spans="1:3" x14ac:dyDescent="0.25">
      <c r="A119">
        <f t="shared" si="1"/>
        <v>116</v>
      </c>
      <c r="B119" s="5" t="s">
        <v>48</v>
      </c>
      <c r="C119" s="5" t="s">
        <v>211</v>
      </c>
    </row>
    <row r="120" spans="1:3" x14ac:dyDescent="0.25">
      <c r="A120">
        <f t="shared" si="1"/>
        <v>117</v>
      </c>
      <c r="B120" s="5" t="s">
        <v>48</v>
      </c>
      <c r="C120" s="5" t="s">
        <v>212</v>
      </c>
    </row>
    <row r="121" spans="1:3" x14ac:dyDescent="0.25">
      <c r="A121">
        <f t="shared" si="1"/>
        <v>118</v>
      </c>
      <c r="B121" s="5" t="s">
        <v>48</v>
      </c>
      <c r="C121" s="5" t="s">
        <v>213</v>
      </c>
    </row>
    <row r="122" spans="1:3" x14ac:dyDescent="0.25">
      <c r="A122">
        <f t="shared" si="1"/>
        <v>119</v>
      </c>
      <c r="B122" s="5" t="s">
        <v>49</v>
      </c>
      <c r="C122" s="5" t="s">
        <v>214</v>
      </c>
    </row>
    <row r="123" spans="1:3" x14ac:dyDescent="0.25">
      <c r="A123">
        <f t="shared" si="1"/>
        <v>120</v>
      </c>
      <c r="B123" s="5" t="s">
        <v>50</v>
      </c>
      <c r="C123" s="5" t="s">
        <v>215</v>
      </c>
    </row>
    <row r="124" spans="1:3" x14ac:dyDescent="0.25">
      <c r="A124">
        <f t="shared" si="1"/>
        <v>121</v>
      </c>
      <c r="B124" s="5" t="s">
        <v>50</v>
      </c>
      <c r="C124" s="5" t="s">
        <v>216</v>
      </c>
    </row>
    <row r="125" spans="1:3" x14ac:dyDescent="0.25">
      <c r="A125">
        <f t="shared" si="1"/>
        <v>122</v>
      </c>
      <c r="B125" s="5" t="s">
        <v>50</v>
      </c>
      <c r="C125" s="5" t="s">
        <v>217</v>
      </c>
    </row>
    <row r="126" spans="1:3" x14ac:dyDescent="0.25">
      <c r="A126">
        <f t="shared" si="1"/>
        <v>123</v>
      </c>
      <c r="B126" s="5" t="s">
        <v>51</v>
      </c>
      <c r="C126" s="5" t="s">
        <v>218</v>
      </c>
    </row>
    <row r="127" spans="1:3" x14ac:dyDescent="0.25">
      <c r="A127">
        <f t="shared" si="1"/>
        <v>124</v>
      </c>
      <c r="B127" s="5" t="s">
        <v>51</v>
      </c>
      <c r="C127" s="5" t="s">
        <v>219</v>
      </c>
    </row>
    <row r="128" spans="1:3" x14ac:dyDescent="0.25">
      <c r="A128">
        <f t="shared" si="1"/>
        <v>125</v>
      </c>
      <c r="B128" s="5" t="s">
        <v>51</v>
      </c>
      <c r="C128" s="5" t="s">
        <v>220</v>
      </c>
    </row>
    <row r="129" spans="1:3" x14ac:dyDescent="0.25">
      <c r="A129">
        <f t="shared" si="1"/>
        <v>126</v>
      </c>
      <c r="B129" s="5" t="s">
        <v>51</v>
      </c>
      <c r="C129" s="5" t="s">
        <v>221</v>
      </c>
    </row>
    <row r="130" spans="1:3" x14ac:dyDescent="0.25">
      <c r="A130">
        <f t="shared" si="1"/>
        <v>127</v>
      </c>
      <c r="B130" s="5" t="s">
        <v>51</v>
      </c>
      <c r="C130" s="5" t="s">
        <v>222</v>
      </c>
    </row>
    <row r="131" spans="1:3" x14ac:dyDescent="0.25">
      <c r="A131">
        <f t="shared" si="1"/>
        <v>128</v>
      </c>
      <c r="B131" s="5" t="s">
        <v>51</v>
      </c>
      <c r="C131" s="5" t="s">
        <v>223</v>
      </c>
    </row>
    <row r="132" spans="1:3" x14ac:dyDescent="0.25">
      <c r="A132">
        <f t="shared" si="1"/>
        <v>129</v>
      </c>
      <c r="B132" s="5" t="s">
        <v>51</v>
      </c>
      <c r="C132" s="5" t="s">
        <v>224</v>
      </c>
    </row>
    <row r="133" spans="1:3" x14ac:dyDescent="0.25">
      <c r="A133">
        <f t="shared" si="1"/>
        <v>130</v>
      </c>
      <c r="B133" s="5" t="s">
        <v>51</v>
      </c>
      <c r="C133" s="5" t="s">
        <v>225</v>
      </c>
    </row>
    <row r="134" spans="1:3" x14ac:dyDescent="0.25">
      <c r="A134">
        <f t="shared" ref="A134:A197" si="2">1+A133</f>
        <v>131</v>
      </c>
      <c r="B134" s="5" t="s">
        <v>51</v>
      </c>
      <c r="C134" s="5" t="s">
        <v>226</v>
      </c>
    </row>
    <row r="135" spans="1:3" x14ac:dyDescent="0.25">
      <c r="A135">
        <f t="shared" si="2"/>
        <v>132</v>
      </c>
      <c r="B135" s="5" t="s">
        <v>51</v>
      </c>
      <c r="C135" s="5" t="s">
        <v>227</v>
      </c>
    </row>
    <row r="136" spans="1:3" x14ac:dyDescent="0.25">
      <c r="A136">
        <f t="shared" si="2"/>
        <v>133</v>
      </c>
      <c r="B136" s="5" t="s">
        <v>51</v>
      </c>
      <c r="C136" s="5" t="s">
        <v>228</v>
      </c>
    </row>
    <row r="137" spans="1:3" x14ac:dyDescent="0.25">
      <c r="A137">
        <f t="shared" si="2"/>
        <v>134</v>
      </c>
      <c r="B137" s="5" t="s">
        <v>51</v>
      </c>
      <c r="C137" s="5" t="s">
        <v>229</v>
      </c>
    </row>
    <row r="138" spans="1:3" x14ac:dyDescent="0.25">
      <c r="A138">
        <f t="shared" si="2"/>
        <v>135</v>
      </c>
      <c r="B138" s="5" t="s">
        <v>51</v>
      </c>
      <c r="C138" s="5" t="s">
        <v>230</v>
      </c>
    </row>
    <row r="139" spans="1:3" x14ac:dyDescent="0.25">
      <c r="A139">
        <f t="shared" si="2"/>
        <v>136</v>
      </c>
      <c r="B139" s="5" t="s">
        <v>51</v>
      </c>
      <c r="C139" s="5" t="s">
        <v>231</v>
      </c>
    </row>
    <row r="140" spans="1:3" x14ac:dyDescent="0.25">
      <c r="A140">
        <f t="shared" si="2"/>
        <v>137</v>
      </c>
      <c r="B140" s="5" t="s">
        <v>51</v>
      </c>
      <c r="C140" s="5" t="s">
        <v>232</v>
      </c>
    </row>
    <row r="141" spans="1:3" x14ac:dyDescent="0.25">
      <c r="A141">
        <f t="shared" si="2"/>
        <v>138</v>
      </c>
      <c r="B141" s="5" t="s">
        <v>51</v>
      </c>
      <c r="C141" s="5" t="s">
        <v>233</v>
      </c>
    </row>
    <row r="142" spans="1:3" x14ac:dyDescent="0.25">
      <c r="A142">
        <f t="shared" si="2"/>
        <v>139</v>
      </c>
      <c r="B142" s="5" t="s">
        <v>51</v>
      </c>
      <c r="C142" s="5" t="s">
        <v>234</v>
      </c>
    </row>
    <row r="143" spans="1:3" x14ac:dyDescent="0.25">
      <c r="A143">
        <f t="shared" si="2"/>
        <v>140</v>
      </c>
      <c r="B143" s="5" t="s">
        <v>51</v>
      </c>
      <c r="C143" s="5" t="s">
        <v>235</v>
      </c>
    </row>
    <row r="144" spans="1:3" x14ac:dyDescent="0.25">
      <c r="A144">
        <f t="shared" si="2"/>
        <v>141</v>
      </c>
      <c r="B144" s="5" t="s">
        <v>51</v>
      </c>
      <c r="C144" s="5" t="s">
        <v>236</v>
      </c>
    </row>
    <row r="145" spans="1:3" x14ac:dyDescent="0.25">
      <c r="A145">
        <f t="shared" si="2"/>
        <v>142</v>
      </c>
      <c r="B145" s="5" t="s">
        <v>51</v>
      </c>
      <c r="C145" s="5" t="s">
        <v>237</v>
      </c>
    </row>
    <row r="146" spans="1:3" x14ac:dyDescent="0.25">
      <c r="A146">
        <f t="shared" si="2"/>
        <v>143</v>
      </c>
      <c r="B146" s="5" t="s">
        <v>52</v>
      </c>
      <c r="C146" s="5" t="s">
        <v>238</v>
      </c>
    </row>
    <row r="147" spans="1:3" x14ac:dyDescent="0.25">
      <c r="A147">
        <f t="shared" si="2"/>
        <v>144</v>
      </c>
      <c r="B147" s="5" t="s">
        <v>53</v>
      </c>
      <c r="C147" s="5" t="s">
        <v>239</v>
      </c>
    </row>
    <row r="148" spans="1:3" x14ac:dyDescent="0.25">
      <c r="A148">
        <f t="shared" si="2"/>
        <v>145</v>
      </c>
      <c r="B148" s="5" t="s">
        <v>54</v>
      </c>
      <c r="C148" s="5" t="s">
        <v>240</v>
      </c>
    </row>
    <row r="149" spans="1:3" x14ac:dyDescent="0.25">
      <c r="A149">
        <f t="shared" si="2"/>
        <v>146</v>
      </c>
      <c r="B149" s="5" t="s">
        <v>54</v>
      </c>
      <c r="C149" s="5" t="s">
        <v>241</v>
      </c>
    </row>
    <row r="150" spans="1:3" x14ac:dyDescent="0.25">
      <c r="A150">
        <f t="shared" si="2"/>
        <v>147</v>
      </c>
      <c r="B150" s="5" t="s">
        <v>54</v>
      </c>
      <c r="C150" s="5" t="s">
        <v>242</v>
      </c>
    </row>
    <row r="151" spans="1:3" x14ac:dyDescent="0.25">
      <c r="A151">
        <f t="shared" si="2"/>
        <v>148</v>
      </c>
      <c r="B151" s="5" t="s">
        <v>54</v>
      </c>
      <c r="C151" s="5" t="s">
        <v>243</v>
      </c>
    </row>
    <row r="152" spans="1:3" x14ac:dyDescent="0.25">
      <c r="A152">
        <f t="shared" si="2"/>
        <v>149</v>
      </c>
      <c r="B152" s="5" t="s">
        <v>55</v>
      </c>
      <c r="C152" s="5" t="s">
        <v>244</v>
      </c>
    </row>
    <row r="153" spans="1:3" x14ac:dyDescent="0.25">
      <c r="A153">
        <f t="shared" si="2"/>
        <v>150</v>
      </c>
      <c r="B153" s="5" t="s">
        <v>56</v>
      </c>
      <c r="C153" s="5" t="s">
        <v>245</v>
      </c>
    </row>
    <row r="154" spans="1:3" x14ac:dyDescent="0.25">
      <c r="A154">
        <f t="shared" si="2"/>
        <v>151</v>
      </c>
      <c r="B154" s="5" t="s">
        <v>56</v>
      </c>
      <c r="C154" s="5" t="s">
        <v>246</v>
      </c>
    </row>
    <row r="155" spans="1:3" x14ac:dyDescent="0.25">
      <c r="A155">
        <f t="shared" si="2"/>
        <v>152</v>
      </c>
      <c r="B155" s="5" t="s">
        <v>56</v>
      </c>
      <c r="C155" s="5" t="s">
        <v>247</v>
      </c>
    </row>
    <row r="156" spans="1:3" x14ac:dyDescent="0.25">
      <c r="A156">
        <f t="shared" si="2"/>
        <v>153</v>
      </c>
      <c r="B156" s="5" t="s">
        <v>56</v>
      </c>
      <c r="C156" s="5" t="s">
        <v>248</v>
      </c>
    </row>
    <row r="157" spans="1:3" x14ac:dyDescent="0.25">
      <c r="A157">
        <f t="shared" si="2"/>
        <v>154</v>
      </c>
      <c r="B157" s="5" t="s">
        <v>57</v>
      </c>
      <c r="C157" s="5" t="s">
        <v>249</v>
      </c>
    </row>
    <row r="158" spans="1:3" x14ac:dyDescent="0.25">
      <c r="A158">
        <f t="shared" si="2"/>
        <v>155</v>
      </c>
      <c r="B158" s="5" t="s">
        <v>58</v>
      </c>
      <c r="C158" s="5" t="s">
        <v>250</v>
      </c>
    </row>
    <row r="159" spans="1:3" x14ac:dyDescent="0.25">
      <c r="A159">
        <f t="shared" si="2"/>
        <v>156</v>
      </c>
      <c r="B159" s="5" t="s">
        <v>58</v>
      </c>
      <c r="C159" s="5" t="s">
        <v>251</v>
      </c>
    </row>
    <row r="160" spans="1:3" x14ac:dyDescent="0.25">
      <c r="A160">
        <f t="shared" si="2"/>
        <v>157</v>
      </c>
      <c r="B160" s="5" t="s">
        <v>58</v>
      </c>
      <c r="C160" s="5" t="s">
        <v>252</v>
      </c>
    </row>
    <row r="161" spans="1:3" x14ac:dyDescent="0.25">
      <c r="A161">
        <f t="shared" si="2"/>
        <v>158</v>
      </c>
      <c r="B161" s="5" t="s">
        <v>59</v>
      </c>
      <c r="C161" s="5" t="s">
        <v>253</v>
      </c>
    </row>
    <row r="162" spans="1:3" x14ac:dyDescent="0.25">
      <c r="A162">
        <f t="shared" si="2"/>
        <v>159</v>
      </c>
      <c r="B162" s="5" t="s">
        <v>59</v>
      </c>
      <c r="C162" s="5" t="s">
        <v>254</v>
      </c>
    </row>
    <row r="163" spans="1:3" x14ac:dyDescent="0.25">
      <c r="A163">
        <f t="shared" si="2"/>
        <v>160</v>
      </c>
      <c r="B163" s="5" t="s">
        <v>59</v>
      </c>
      <c r="C163" s="5" t="s">
        <v>255</v>
      </c>
    </row>
    <row r="164" spans="1:3" x14ac:dyDescent="0.25">
      <c r="A164">
        <f t="shared" si="2"/>
        <v>161</v>
      </c>
      <c r="B164" s="5" t="s">
        <v>59</v>
      </c>
      <c r="C164" s="5" t="s">
        <v>256</v>
      </c>
    </row>
    <row r="165" spans="1:3" x14ac:dyDescent="0.25">
      <c r="A165">
        <f t="shared" si="2"/>
        <v>162</v>
      </c>
      <c r="B165" s="5" t="s">
        <v>59</v>
      </c>
      <c r="C165" s="5" t="s">
        <v>257</v>
      </c>
    </row>
    <row r="166" spans="1:3" x14ac:dyDescent="0.25">
      <c r="A166">
        <f t="shared" si="2"/>
        <v>163</v>
      </c>
      <c r="B166" s="5" t="s">
        <v>59</v>
      </c>
      <c r="C166" s="5" t="s">
        <v>258</v>
      </c>
    </row>
    <row r="167" spans="1:3" x14ac:dyDescent="0.25">
      <c r="A167">
        <f t="shared" si="2"/>
        <v>164</v>
      </c>
      <c r="B167" s="5" t="s">
        <v>59</v>
      </c>
      <c r="C167" s="5" t="s">
        <v>259</v>
      </c>
    </row>
    <row r="168" spans="1:3" x14ac:dyDescent="0.25">
      <c r="A168">
        <f t="shared" si="2"/>
        <v>165</v>
      </c>
      <c r="B168" s="5" t="s">
        <v>59</v>
      </c>
      <c r="C168" s="5" t="s">
        <v>260</v>
      </c>
    </row>
    <row r="169" spans="1:3" x14ac:dyDescent="0.25">
      <c r="A169">
        <f t="shared" si="2"/>
        <v>166</v>
      </c>
      <c r="B169" s="5" t="s">
        <v>59</v>
      </c>
      <c r="C169" s="5" t="s">
        <v>261</v>
      </c>
    </row>
    <row r="170" spans="1:3" x14ac:dyDescent="0.25">
      <c r="A170">
        <f t="shared" si="2"/>
        <v>167</v>
      </c>
      <c r="B170" s="5" t="s">
        <v>59</v>
      </c>
      <c r="C170" s="5" t="s">
        <v>262</v>
      </c>
    </row>
    <row r="171" spans="1:3" x14ac:dyDescent="0.25">
      <c r="A171">
        <f t="shared" si="2"/>
        <v>168</v>
      </c>
      <c r="B171" s="5" t="s">
        <v>60</v>
      </c>
      <c r="C171" s="5" t="s">
        <v>263</v>
      </c>
    </row>
    <row r="172" spans="1:3" x14ac:dyDescent="0.25">
      <c r="A172">
        <f t="shared" si="2"/>
        <v>169</v>
      </c>
      <c r="B172" s="5" t="s">
        <v>61</v>
      </c>
      <c r="C172" s="5" t="s">
        <v>264</v>
      </c>
    </row>
    <row r="173" spans="1:3" x14ac:dyDescent="0.25">
      <c r="A173">
        <f t="shared" si="2"/>
        <v>170</v>
      </c>
      <c r="B173" s="5" t="s">
        <v>62</v>
      </c>
      <c r="C173" s="5" t="s">
        <v>265</v>
      </c>
    </row>
    <row r="174" spans="1:3" x14ac:dyDescent="0.25">
      <c r="A174">
        <f t="shared" si="2"/>
        <v>171</v>
      </c>
      <c r="B174" s="5" t="s">
        <v>63</v>
      </c>
      <c r="C174" s="5" t="s">
        <v>266</v>
      </c>
    </row>
    <row r="175" spans="1:3" x14ac:dyDescent="0.25">
      <c r="A175">
        <f t="shared" si="2"/>
        <v>172</v>
      </c>
      <c r="B175" s="5" t="s">
        <v>63</v>
      </c>
      <c r="C175" s="5" t="s">
        <v>267</v>
      </c>
    </row>
    <row r="176" spans="1:3" x14ac:dyDescent="0.25">
      <c r="A176">
        <f t="shared" si="2"/>
        <v>173</v>
      </c>
      <c r="B176" s="5" t="s">
        <v>63</v>
      </c>
      <c r="C176" s="5" t="s">
        <v>268</v>
      </c>
    </row>
    <row r="177" spans="1:3" x14ac:dyDescent="0.25">
      <c r="A177">
        <f t="shared" si="2"/>
        <v>174</v>
      </c>
      <c r="B177" s="5" t="s">
        <v>64</v>
      </c>
      <c r="C177" s="5" t="s">
        <v>269</v>
      </c>
    </row>
    <row r="178" spans="1:3" x14ac:dyDescent="0.25">
      <c r="A178">
        <f t="shared" si="2"/>
        <v>175</v>
      </c>
      <c r="B178" s="5" t="s">
        <v>64</v>
      </c>
      <c r="C178" s="5" t="s">
        <v>270</v>
      </c>
    </row>
    <row r="179" spans="1:3" x14ac:dyDescent="0.25">
      <c r="A179">
        <f t="shared" si="2"/>
        <v>176</v>
      </c>
      <c r="B179" s="5" t="s">
        <v>64</v>
      </c>
      <c r="C179" s="5" t="s">
        <v>271</v>
      </c>
    </row>
    <row r="180" spans="1:3" x14ac:dyDescent="0.25">
      <c r="A180">
        <f t="shared" si="2"/>
        <v>177</v>
      </c>
      <c r="B180" s="5" t="s">
        <v>64</v>
      </c>
      <c r="C180" s="5" t="s">
        <v>272</v>
      </c>
    </row>
    <row r="181" spans="1:3" x14ac:dyDescent="0.25">
      <c r="A181">
        <f t="shared" si="2"/>
        <v>178</v>
      </c>
      <c r="B181" s="5" t="s">
        <v>65</v>
      </c>
      <c r="C181" s="5" t="s">
        <v>273</v>
      </c>
    </row>
    <row r="182" spans="1:3" x14ac:dyDescent="0.25">
      <c r="A182">
        <f t="shared" si="2"/>
        <v>179</v>
      </c>
      <c r="B182" s="5" t="s">
        <v>65</v>
      </c>
      <c r="C182" s="5" t="s">
        <v>274</v>
      </c>
    </row>
    <row r="183" spans="1:3" x14ac:dyDescent="0.25">
      <c r="A183">
        <f t="shared" si="2"/>
        <v>180</v>
      </c>
      <c r="B183" s="5" t="s">
        <v>65</v>
      </c>
      <c r="C183" s="5" t="s">
        <v>275</v>
      </c>
    </row>
    <row r="184" spans="1:3" x14ac:dyDescent="0.25">
      <c r="A184">
        <f t="shared" si="2"/>
        <v>181</v>
      </c>
      <c r="B184" s="5" t="s">
        <v>65</v>
      </c>
      <c r="C184" s="5" t="s">
        <v>276</v>
      </c>
    </row>
    <row r="185" spans="1:3" x14ac:dyDescent="0.25">
      <c r="A185">
        <f t="shared" si="2"/>
        <v>182</v>
      </c>
      <c r="B185" s="5" t="s">
        <v>66</v>
      </c>
      <c r="C185" s="5" t="s">
        <v>277</v>
      </c>
    </row>
    <row r="186" spans="1:3" x14ac:dyDescent="0.25">
      <c r="A186">
        <f t="shared" si="2"/>
        <v>183</v>
      </c>
      <c r="B186" s="5" t="s">
        <v>67</v>
      </c>
      <c r="C186" s="5" t="s">
        <v>278</v>
      </c>
    </row>
    <row r="187" spans="1:3" x14ac:dyDescent="0.25">
      <c r="A187">
        <f t="shared" si="2"/>
        <v>184</v>
      </c>
      <c r="B187" s="5" t="s">
        <v>68</v>
      </c>
      <c r="C187" s="5" t="s">
        <v>279</v>
      </c>
    </row>
    <row r="188" spans="1:3" x14ac:dyDescent="0.25">
      <c r="A188">
        <f t="shared" si="2"/>
        <v>185</v>
      </c>
      <c r="B188" s="5" t="s">
        <v>69</v>
      </c>
      <c r="C188" s="5" t="s">
        <v>280</v>
      </c>
    </row>
    <row r="189" spans="1:3" x14ac:dyDescent="0.25">
      <c r="A189">
        <f t="shared" si="2"/>
        <v>186</v>
      </c>
      <c r="B189" s="5" t="s">
        <v>70</v>
      </c>
      <c r="C189" s="5" t="s">
        <v>281</v>
      </c>
    </row>
    <row r="190" spans="1:3" x14ac:dyDescent="0.25">
      <c r="A190">
        <f t="shared" si="2"/>
        <v>187</v>
      </c>
      <c r="B190" s="5" t="s">
        <v>71</v>
      </c>
      <c r="C190" s="5" t="s">
        <v>282</v>
      </c>
    </row>
    <row r="191" spans="1:3" x14ac:dyDescent="0.25">
      <c r="A191">
        <f t="shared" si="2"/>
        <v>188</v>
      </c>
      <c r="B191" s="5" t="s">
        <v>72</v>
      </c>
      <c r="C191" s="5" t="s">
        <v>283</v>
      </c>
    </row>
    <row r="192" spans="1:3" x14ac:dyDescent="0.25">
      <c r="A192">
        <f t="shared" si="2"/>
        <v>189</v>
      </c>
      <c r="B192" s="5" t="s">
        <v>72</v>
      </c>
      <c r="C192" s="5" t="s">
        <v>284</v>
      </c>
    </row>
    <row r="193" spans="1:3" x14ac:dyDescent="0.25">
      <c r="A193">
        <f t="shared" si="2"/>
        <v>190</v>
      </c>
      <c r="B193" s="5" t="s">
        <v>72</v>
      </c>
      <c r="C193" s="5" t="s">
        <v>285</v>
      </c>
    </row>
    <row r="194" spans="1:3" x14ac:dyDescent="0.25">
      <c r="A194">
        <f t="shared" si="2"/>
        <v>191</v>
      </c>
      <c r="B194" s="5" t="s">
        <v>72</v>
      </c>
      <c r="C194" s="5" t="s">
        <v>286</v>
      </c>
    </row>
    <row r="195" spans="1:3" x14ac:dyDescent="0.25">
      <c r="A195">
        <f t="shared" si="2"/>
        <v>192</v>
      </c>
      <c r="B195" s="5" t="s">
        <v>73</v>
      </c>
      <c r="C195" s="5" t="s">
        <v>287</v>
      </c>
    </row>
    <row r="196" spans="1:3" x14ac:dyDescent="0.25">
      <c r="A196">
        <f t="shared" si="2"/>
        <v>193</v>
      </c>
      <c r="B196" s="5" t="s">
        <v>74</v>
      </c>
      <c r="C196" s="5" t="s">
        <v>288</v>
      </c>
    </row>
    <row r="197" spans="1:3" x14ac:dyDescent="0.25">
      <c r="A197">
        <f t="shared" si="2"/>
        <v>194</v>
      </c>
      <c r="B197" s="5" t="s">
        <v>75</v>
      </c>
      <c r="C197" s="5" t="s">
        <v>289</v>
      </c>
    </row>
    <row r="198" spans="1:3" x14ac:dyDescent="0.25">
      <c r="A198">
        <f t="shared" ref="A198:A229" si="3">1+A197</f>
        <v>195</v>
      </c>
      <c r="B198" s="5" t="s">
        <v>76</v>
      </c>
      <c r="C198" s="5" t="s">
        <v>290</v>
      </c>
    </row>
    <row r="199" spans="1:3" x14ac:dyDescent="0.25">
      <c r="A199">
        <f t="shared" si="3"/>
        <v>196</v>
      </c>
      <c r="B199" s="5" t="s">
        <v>77</v>
      </c>
      <c r="C199" s="5" t="s">
        <v>291</v>
      </c>
    </row>
    <row r="200" spans="1:3" x14ac:dyDescent="0.25">
      <c r="A200">
        <f t="shared" si="3"/>
        <v>197</v>
      </c>
      <c r="B200" s="5" t="s">
        <v>78</v>
      </c>
      <c r="C200" s="5" t="s">
        <v>292</v>
      </c>
    </row>
    <row r="201" spans="1:3" x14ac:dyDescent="0.25">
      <c r="A201">
        <f t="shared" si="3"/>
        <v>198</v>
      </c>
      <c r="B201" s="5" t="s">
        <v>79</v>
      </c>
      <c r="C201" s="5" t="s">
        <v>293</v>
      </c>
    </row>
    <row r="202" spans="1:3" x14ac:dyDescent="0.25">
      <c r="A202">
        <f t="shared" si="3"/>
        <v>199</v>
      </c>
      <c r="B202" s="5" t="s">
        <v>80</v>
      </c>
      <c r="C202" s="5" t="s">
        <v>294</v>
      </c>
    </row>
    <row r="203" spans="1:3" x14ac:dyDescent="0.25">
      <c r="A203">
        <f t="shared" si="3"/>
        <v>200</v>
      </c>
      <c r="B203" s="5" t="s">
        <v>81</v>
      </c>
      <c r="C203" s="5" t="s">
        <v>295</v>
      </c>
    </row>
    <row r="204" spans="1:3" x14ac:dyDescent="0.25">
      <c r="A204">
        <f t="shared" si="3"/>
        <v>201</v>
      </c>
      <c r="B204" s="5" t="s">
        <v>81</v>
      </c>
      <c r="C204" s="5" t="s">
        <v>296</v>
      </c>
    </row>
    <row r="205" spans="1:3" x14ac:dyDescent="0.25">
      <c r="A205">
        <f t="shared" si="3"/>
        <v>202</v>
      </c>
      <c r="B205" s="5" t="s">
        <v>82</v>
      </c>
      <c r="C205" s="5" t="s">
        <v>297</v>
      </c>
    </row>
    <row r="206" spans="1:3" x14ac:dyDescent="0.25">
      <c r="A206">
        <f t="shared" si="3"/>
        <v>203</v>
      </c>
      <c r="B206" s="5" t="s">
        <v>83</v>
      </c>
      <c r="C206" s="5" t="s">
        <v>298</v>
      </c>
    </row>
    <row r="207" spans="1:3" x14ac:dyDescent="0.25">
      <c r="A207">
        <f t="shared" si="3"/>
        <v>204</v>
      </c>
      <c r="B207" s="5" t="s">
        <v>84</v>
      </c>
      <c r="C207" s="5" t="s">
        <v>299</v>
      </c>
    </row>
    <row r="208" spans="1:3" x14ac:dyDescent="0.25">
      <c r="A208">
        <f t="shared" si="3"/>
        <v>205</v>
      </c>
      <c r="B208" s="5" t="s">
        <v>84</v>
      </c>
      <c r="C208" s="5" t="s">
        <v>300</v>
      </c>
    </row>
    <row r="209" spans="1:3" x14ac:dyDescent="0.25">
      <c r="A209">
        <f t="shared" si="3"/>
        <v>206</v>
      </c>
      <c r="B209" s="5" t="s">
        <v>85</v>
      </c>
      <c r="C209" s="5" t="s">
        <v>301</v>
      </c>
    </row>
    <row r="210" spans="1:3" x14ac:dyDescent="0.25">
      <c r="A210">
        <f t="shared" si="3"/>
        <v>207</v>
      </c>
      <c r="B210" s="5" t="s">
        <v>86</v>
      </c>
      <c r="C210" s="5" t="s">
        <v>302</v>
      </c>
    </row>
    <row r="211" spans="1:3" x14ac:dyDescent="0.25">
      <c r="A211">
        <f t="shared" si="3"/>
        <v>208</v>
      </c>
      <c r="B211" s="5" t="s">
        <v>322</v>
      </c>
      <c r="C211" s="5" t="s">
        <v>323</v>
      </c>
    </row>
    <row r="212" spans="1:3" x14ac:dyDescent="0.25">
      <c r="A212">
        <f t="shared" si="3"/>
        <v>209</v>
      </c>
      <c r="B212" s="5" t="s">
        <v>322</v>
      </c>
      <c r="C212" s="5" t="s">
        <v>324</v>
      </c>
    </row>
    <row r="213" spans="1:3" x14ac:dyDescent="0.25">
      <c r="A213">
        <f t="shared" si="3"/>
        <v>210</v>
      </c>
      <c r="B213" s="5" t="s">
        <v>87</v>
      </c>
      <c r="C213" s="5" t="s">
        <v>303</v>
      </c>
    </row>
    <row r="214" spans="1:3" x14ac:dyDescent="0.25">
      <c r="A214">
        <f t="shared" si="3"/>
        <v>211</v>
      </c>
      <c r="B214" s="5" t="s">
        <v>88</v>
      </c>
      <c r="C214" s="5" t="s">
        <v>304</v>
      </c>
    </row>
    <row r="215" spans="1:3" x14ac:dyDescent="0.25">
      <c r="A215">
        <f t="shared" si="3"/>
        <v>212</v>
      </c>
      <c r="B215" s="5" t="s">
        <v>88</v>
      </c>
      <c r="C215" s="5" t="s">
        <v>305</v>
      </c>
    </row>
    <row r="216" spans="1:3" x14ac:dyDescent="0.25">
      <c r="A216">
        <f t="shared" si="3"/>
        <v>213</v>
      </c>
      <c r="B216" s="5" t="s">
        <v>88</v>
      </c>
      <c r="C216" s="5" t="s">
        <v>306</v>
      </c>
    </row>
    <row r="217" spans="1:3" x14ac:dyDescent="0.25">
      <c r="A217">
        <f t="shared" si="3"/>
        <v>214</v>
      </c>
      <c r="B217" s="5" t="s">
        <v>88</v>
      </c>
      <c r="C217" s="5" t="s">
        <v>307</v>
      </c>
    </row>
    <row r="218" spans="1:3" x14ac:dyDescent="0.25">
      <c r="A218">
        <f t="shared" si="3"/>
        <v>215</v>
      </c>
      <c r="B218" s="5" t="s">
        <v>88</v>
      </c>
      <c r="C218" s="5" t="s">
        <v>308</v>
      </c>
    </row>
    <row r="219" spans="1:3" x14ac:dyDescent="0.25">
      <c r="A219">
        <f t="shared" si="3"/>
        <v>216</v>
      </c>
      <c r="B219" s="5" t="s">
        <v>88</v>
      </c>
      <c r="C219" s="5" t="s">
        <v>309</v>
      </c>
    </row>
    <row r="220" spans="1:3" x14ac:dyDescent="0.25">
      <c r="A220">
        <f t="shared" si="3"/>
        <v>217</v>
      </c>
      <c r="B220" s="5" t="s">
        <v>89</v>
      </c>
      <c r="C220" s="5" t="s">
        <v>310</v>
      </c>
    </row>
    <row r="221" spans="1:3" x14ac:dyDescent="0.25">
      <c r="A221">
        <f t="shared" si="3"/>
        <v>218</v>
      </c>
      <c r="B221" s="5" t="s">
        <v>90</v>
      </c>
      <c r="C221" s="5" t="s">
        <v>311</v>
      </c>
    </row>
    <row r="222" spans="1:3" x14ac:dyDescent="0.25">
      <c r="A222">
        <f t="shared" si="3"/>
        <v>219</v>
      </c>
      <c r="B222" s="5" t="s">
        <v>91</v>
      </c>
      <c r="C222" s="5" t="s">
        <v>312</v>
      </c>
    </row>
    <row r="223" spans="1:3" x14ac:dyDescent="0.25">
      <c r="A223">
        <f t="shared" si="3"/>
        <v>220</v>
      </c>
      <c r="B223" s="5" t="s">
        <v>91</v>
      </c>
      <c r="C223" s="5" t="s">
        <v>313</v>
      </c>
    </row>
    <row r="224" spans="1:3" x14ac:dyDescent="0.25">
      <c r="A224">
        <f t="shared" si="3"/>
        <v>221</v>
      </c>
      <c r="B224" s="5" t="s">
        <v>91</v>
      </c>
      <c r="C224" s="5" t="s">
        <v>314</v>
      </c>
    </row>
    <row r="225" spans="1:3" x14ac:dyDescent="0.25">
      <c r="A225">
        <f t="shared" si="3"/>
        <v>222</v>
      </c>
      <c r="B225" s="5" t="s">
        <v>92</v>
      </c>
      <c r="C225" s="5" t="s">
        <v>315</v>
      </c>
    </row>
    <row r="226" spans="1:3" x14ac:dyDescent="0.25">
      <c r="A226">
        <f t="shared" si="3"/>
        <v>223</v>
      </c>
      <c r="B226" s="5" t="s">
        <v>93</v>
      </c>
      <c r="C226" s="5" t="s">
        <v>316</v>
      </c>
    </row>
    <row r="227" spans="1:3" x14ac:dyDescent="0.25">
      <c r="A227">
        <f t="shared" si="3"/>
        <v>224</v>
      </c>
      <c r="B227" s="5" t="s">
        <v>94</v>
      </c>
      <c r="C227" s="5" t="s">
        <v>317</v>
      </c>
    </row>
    <row r="228" spans="1:3" x14ac:dyDescent="0.25">
      <c r="A228">
        <f t="shared" si="3"/>
        <v>225</v>
      </c>
      <c r="B228" s="5" t="s">
        <v>94</v>
      </c>
      <c r="C228" s="5" t="s">
        <v>318</v>
      </c>
    </row>
    <row r="229" spans="1:3" x14ac:dyDescent="0.25">
      <c r="A229">
        <f t="shared" si="3"/>
        <v>226</v>
      </c>
      <c r="B229" s="5" t="s">
        <v>95</v>
      </c>
      <c r="C229" s="5" t="s">
        <v>319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1EC24-B0A6-4AE1-BAC6-7E46D54E6C64}">
  <dimension ref="A1:V229"/>
  <sheetViews>
    <sheetView tabSelected="1" topLeftCell="C42" workbookViewId="0">
      <selection activeCell="M50" sqref="M50"/>
    </sheetView>
  </sheetViews>
  <sheetFormatPr baseColWidth="10" defaultRowHeight="15" x14ac:dyDescent="0.25"/>
  <cols>
    <col min="2" max="2" width="29.85546875" bestFit="1" customWidth="1"/>
    <col min="3" max="3" width="10.85546875" bestFit="1" customWidth="1"/>
    <col min="4" max="4" width="14.5703125" bestFit="1" customWidth="1"/>
    <col min="5" max="5" width="17.42578125" bestFit="1" customWidth="1"/>
    <col min="6" max="6" width="16.42578125" bestFit="1" customWidth="1"/>
    <col min="7" max="7" width="16.85546875" bestFit="1" customWidth="1"/>
    <col min="8" max="8" width="19.42578125" bestFit="1" customWidth="1"/>
    <col min="9" max="9" width="16.85546875" bestFit="1" customWidth="1"/>
    <col min="10" max="10" width="19.42578125" bestFit="1" customWidth="1"/>
    <col min="11" max="11" width="16.85546875" bestFit="1" customWidth="1"/>
    <col min="12" max="12" width="19.42578125" bestFit="1" customWidth="1"/>
    <col min="13" max="13" width="16.85546875" bestFit="1" customWidth="1"/>
    <col min="14" max="14" width="19.42578125" bestFit="1" customWidth="1"/>
  </cols>
  <sheetData>
    <row r="1" spans="1:22" x14ac:dyDescent="0.25">
      <c r="B1" s="4" t="s">
        <v>331</v>
      </c>
      <c r="C1" t="s" vm="1">
        <v>332</v>
      </c>
    </row>
    <row r="2" spans="1:22" ht="15.75" x14ac:dyDescent="0.25">
      <c r="D2" s="9"/>
      <c r="E2" s="10"/>
      <c r="F2" s="10"/>
      <c r="G2" s="9" t="s">
        <v>325</v>
      </c>
      <c r="H2" s="10"/>
      <c r="I2" s="10"/>
      <c r="J2" s="11"/>
      <c r="K2" s="13" t="s">
        <v>326</v>
      </c>
      <c r="L2" s="14"/>
      <c r="M2" s="14"/>
      <c r="N2" s="14"/>
      <c r="O2" s="14"/>
      <c r="P2" s="14"/>
      <c r="Q2" s="14"/>
      <c r="R2" s="14"/>
    </row>
    <row r="3" spans="1:22" x14ac:dyDescent="0.25">
      <c r="B3" s="7" t="s">
        <v>320</v>
      </c>
      <c r="C3" s="7" t="s">
        <v>321</v>
      </c>
      <c r="D3" s="6" t="s">
        <v>333</v>
      </c>
      <c r="E3" s="6" t="s">
        <v>334</v>
      </c>
      <c r="F3" s="6" t="s">
        <v>335</v>
      </c>
      <c r="G3" s="6" t="s">
        <v>327</v>
      </c>
      <c r="H3" s="6" t="s">
        <v>328</v>
      </c>
      <c r="I3" s="6" t="s">
        <v>329</v>
      </c>
      <c r="J3" s="6" t="s">
        <v>330</v>
      </c>
      <c r="K3" s="6" t="s">
        <v>327</v>
      </c>
      <c r="L3" s="6" t="s">
        <v>328</v>
      </c>
      <c r="M3" s="6" t="s">
        <v>329</v>
      </c>
      <c r="N3" s="6" t="s">
        <v>330</v>
      </c>
      <c r="O3" s="6" t="s">
        <v>343</v>
      </c>
      <c r="P3" s="6" t="s">
        <v>344</v>
      </c>
      <c r="Q3" s="6" t="s">
        <v>345</v>
      </c>
      <c r="R3" s="6" t="s">
        <v>346</v>
      </c>
      <c r="S3" s="6"/>
      <c r="T3" s="6"/>
      <c r="U3" s="6"/>
      <c r="V3" s="6"/>
    </row>
    <row r="4" spans="1:22" x14ac:dyDescent="0.25">
      <c r="A4">
        <v>1</v>
      </c>
      <c r="B4" s="5" t="s">
        <v>22</v>
      </c>
      <c r="C4" s="5" t="s">
        <v>96</v>
      </c>
      <c r="D4" s="8" t="str">
        <f>IFERROR(HYPERLINK(_xlfn.XLOOKUP(C4,'[1]CTR PUB MAN'!$BC$2:$BC$500,'[1]CTR PUB MAN'!$D$2:$D$500),_xlfn.XLOOKUP(C4,'[1]CTR PUB MAN'!$BC$2:$BC$500,'[1]CTR PUB MAN'!$D$2:$D$500)),"")</f>
        <v>https://is.gd/R1sKACn</v>
      </c>
      <c r="E4" s="5" t="str">
        <f>_xlfn.XLOOKUP(C4,[2]Classes!$A$2:$A$500,[2]Classes!$D$2:$D$500)</f>
        <v>COOP CA WALDE BEKA MARDOCK</v>
      </c>
      <c r="F4" s="5" t="str">
        <f>_xlfn.XLOOKUP(C4,[2]Classes!$A$2:$A$500,[2]Classes!$C$2:$C$500)</f>
        <v>CFP FAMEAC</v>
      </c>
      <c r="G4" s="5"/>
      <c r="H4" s="5"/>
      <c r="I4" s="5"/>
      <c r="J4" s="5"/>
      <c r="K4" t="s">
        <v>336</v>
      </c>
      <c r="L4">
        <v>699572764</v>
      </c>
      <c r="M4" t="s">
        <v>337</v>
      </c>
      <c r="N4" s="5">
        <v>699851546</v>
      </c>
      <c r="O4" s="5" t="s">
        <v>338</v>
      </c>
      <c r="P4" s="5">
        <v>675145497</v>
      </c>
      <c r="Q4" s="5"/>
      <c r="R4" s="5"/>
      <c r="S4" s="5"/>
      <c r="T4" s="5"/>
      <c r="U4" s="5"/>
      <c r="V4" s="5"/>
    </row>
    <row r="5" spans="1:22" x14ac:dyDescent="0.25">
      <c r="A5">
        <f>1+A4</f>
        <v>2</v>
      </c>
      <c r="B5" s="5" t="s">
        <v>23</v>
      </c>
      <c r="C5" s="5" t="s">
        <v>97</v>
      </c>
      <c r="D5" s="8" t="str">
        <f>IFERROR(HYPERLINK(_xlfn.XLOOKUP(C5,'[1]CTR PUB MAN'!$BC$2:$BC$500,'[1]CTR PUB MAN'!$D$2:$D$500),_xlfn.XLOOKUP(C5,'[1]CTR PUB MAN'!$BC$2:$BC$500,'[1]CTR PUB MAN'!$D$2:$D$500)),"")</f>
        <v>https://is.gd/2ghUjf</v>
      </c>
      <c r="E5" s="5" t="str">
        <f>_xlfn.XLOOKUP(C5,[2]Classes!$A$2:$A$500,[2]Classes!$D$2:$D$500)</f>
        <v>CHAMBRE D'AGRICULTURE, DES PÊCHES, DE L'ELEVAGE ET DES FORÊTS DU CAMEROUN (CAPEF)</v>
      </c>
      <c r="F5" s="5" t="str">
        <f>_xlfn.XLOOKUP(C5,[2]Classes!$A$2:$A$500,[2]Classes!$C$2:$C$500)</f>
        <v>CADHAC</v>
      </c>
      <c r="G5" s="5"/>
      <c r="H5" s="5"/>
      <c r="I5" s="5"/>
      <c r="J5" s="5"/>
      <c r="K5" t="s">
        <v>339</v>
      </c>
      <c r="L5" s="5">
        <v>698716346</v>
      </c>
      <c r="M5" t="s">
        <v>340</v>
      </c>
      <c r="N5" s="5">
        <v>656510039</v>
      </c>
      <c r="O5" t="s">
        <v>341</v>
      </c>
      <c r="P5" s="5">
        <v>698065452</v>
      </c>
      <c r="Q5" t="s">
        <v>342</v>
      </c>
      <c r="R5" s="5">
        <v>696910976</v>
      </c>
      <c r="T5" s="5"/>
      <c r="V5" s="5"/>
    </row>
    <row r="6" spans="1:22" x14ac:dyDescent="0.25">
      <c r="A6">
        <f t="shared" ref="A6:A69" si="0">1+A5</f>
        <v>3</v>
      </c>
      <c r="B6" s="5" t="s">
        <v>23</v>
      </c>
      <c r="C6" s="5" t="s">
        <v>98</v>
      </c>
      <c r="D6" s="8" t="str">
        <f>IFERROR(HYPERLINK(_xlfn.XLOOKUP(C6,'[1]CTR PUB MAN'!$BC$2:$BC$500,'[1]CTR PUB MAN'!$D$2:$D$500),_xlfn.XLOOKUP(C6,'[1]CTR PUB MAN'!$BC$2:$BC$500,'[1]CTR PUB MAN'!$D$2:$D$500)),"")</f>
        <v>https://is.gd/oqzfZz</v>
      </c>
      <c r="E6" s="5" t="str">
        <f>_xlfn.XLOOKUP(C6,[2]Classes!$A$2:$A$500,[2]Classes!$D$2:$D$500)</f>
        <v>CHAMBRE D'AGRICULTURE, DES PÊCHES, DE L'ELEVAGE ET DES FORÊTS DU CAMEROUN (CAPEF)</v>
      </c>
      <c r="F6" s="5" t="str">
        <f>_xlfn.XLOOKUP(C6,[2]Classes!$A$2:$A$500,[2]Classes!$C$2:$C$500)</f>
        <v>CADHAC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 x14ac:dyDescent="0.25">
      <c r="A7">
        <f t="shared" si="0"/>
        <v>4</v>
      </c>
      <c r="B7" s="5" t="s">
        <v>23</v>
      </c>
      <c r="C7" s="5" t="s">
        <v>99</v>
      </c>
      <c r="D7" s="8" t="str">
        <f>IFERROR(HYPERLINK(_xlfn.XLOOKUP(C7,'[1]CTR PUB MAN'!$BC$2:$BC$500,'[1]CTR PUB MAN'!$D$2:$D$500),_xlfn.XLOOKUP(C7,'[1]CTR PUB MAN'!$BC$2:$BC$500,'[1]CTR PUB MAN'!$D$2:$D$500)),"")</f>
        <v/>
      </c>
      <c r="E7" s="5" t="str">
        <f>_xlfn.XLOOKUP(C7,[2]Classes!$A$2:$A$500,[2]Classes!$D$2:$D$500)</f>
        <v>CHAMBRE D'AGRICULTURE, DES PÊCHES, DE L'ELEVAGE ET DES FORÊTS DU CAMEROUN (CAPEF)</v>
      </c>
      <c r="F7" s="5" t="str">
        <f>_xlfn.XLOOKUP(C7,[2]Classes!$A$2:$A$500,[2]Classes!$C$2:$C$500)</f>
        <v>CADHAC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2" x14ac:dyDescent="0.25">
      <c r="A8">
        <f t="shared" si="0"/>
        <v>5</v>
      </c>
      <c r="B8" s="5" t="s">
        <v>23</v>
      </c>
      <c r="C8" s="5" t="s">
        <v>100</v>
      </c>
      <c r="D8" s="8" t="str">
        <f>IFERROR(HYPERLINK(_xlfn.XLOOKUP(C8,'[1]CTR PUB MAN'!$BC$2:$BC$500,'[1]CTR PUB MAN'!$D$2:$D$500),_xlfn.XLOOKUP(C8,'[1]CTR PUB MAN'!$BC$2:$BC$500,'[1]CTR PUB MAN'!$D$2:$D$500)),"")</f>
        <v/>
      </c>
      <c r="E8" s="5" t="str">
        <f>_xlfn.XLOOKUP(C8,[2]Classes!$A$2:$A$500,[2]Classes!$D$2:$D$500)</f>
        <v>CHAMBRE D'AGRICULTURE, DES PÊCHES, DE L'ELEVAGE ET DES FORÊTS DU CAMEROUN (CAPEF)</v>
      </c>
      <c r="F8" s="5" t="str">
        <f>_xlfn.XLOOKUP(C8,[2]Classes!$A$2:$A$500,[2]Classes!$C$2:$C$500)</f>
        <v>CADHAC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2" x14ac:dyDescent="0.25">
      <c r="A9">
        <f t="shared" si="0"/>
        <v>6</v>
      </c>
      <c r="B9" s="5" t="s">
        <v>23</v>
      </c>
      <c r="C9" s="5" t="s">
        <v>101</v>
      </c>
      <c r="D9" s="8" t="str">
        <f>IFERROR(HYPERLINK(_xlfn.XLOOKUP(C9,'[1]CTR PUB MAN'!$BC$2:$BC$500,'[1]CTR PUB MAN'!$D$2:$D$500),_xlfn.XLOOKUP(C9,'[1]CTR PUB MAN'!$BC$2:$BC$500,'[1]CTR PUB MAN'!$D$2:$D$500)),"")</f>
        <v/>
      </c>
      <c r="E9" s="5" t="str">
        <f>_xlfn.XLOOKUP(C9,[2]Classes!$A$2:$A$500,[2]Classes!$D$2:$D$500)</f>
        <v>CHAMBRE D'AGRICULTURE, DES PÊCHES, DE L'ELEVAGE ET DES FORÊTS DU CAMEROUN (CAPEF)</v>
      </c>
      <c r="F9" s="5" t="str">
        <f>_xlfn.XLOOKUP(C9,[2]Classes!$A$2:$A$500,[2]Classes!$C$2:$C$500)</f>
        <v>CADHAC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 x14ac:dyDescent="0.25">
      <c r="A10">
        <f t="shared" si="0"/>
        <v>7</v>
      </c>
      <c r="B10" s="5" t="s">
        <v>23</v>
      </c>
      <c r="C10" s="5" t="s">
        <v>102</v>
      </c>
      <c r="D10" s="8" t="str">
        <f>IFERROR(HYPERLINK(_xlfn.XLOOKUP(C10,'[1]CTR PUB MAN'!$BC$2:$BC$500,'[1]CTR PUB MAN'!$D$2:$D$500),_xlfn.XLOOKUP(C10,'[1]CTR PUB MAN'!$BC$2:$BC$500,'[1]CTR PUB MAN'!$D$2:$D$500)),"")</f>
        <v/>
      </c>
      <c r="E10" s="5" t="str">
        <f>_xlfn.XLOOKUP(C10,[2]Classes!$A$2:$A$500,[2]Classes!$D$2:$D$500)</f>
        <v>CHAMBRE D'AGRICULTURE, DES PÊCHES, DE L'ELEVAGE ET DES FORÊTS DU CAMEROUN (CAPEF)</v>
      </c>
      <c r="F10" s="5" t="str">
        <f>_xlfn.XLOOKUP(C10,[2]Classes!$A$2:$A$500,[2]Classes!$C$2:$C$500)</f>
        <v>CADHAC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25">
      <c r="A11">
        <f t="shared" si="0"/>
        <v>8</v>
      </c>
      <c r="B11" s="5" t="s">
        <v>23</v>
      </c>
      <c r="C11" s="5" t="s">
        <v>103</v>
      </c>
      <c r="D11" s="8" t="str">
        <f>IFERROR(HYPERLINK(_xlfn.XLOOKUP(C11,'[1]CTR PUB MAN'!$BC$2:$BC$500,'[1]CTR PUB MAN'!$D$2:$D$500),_xlfn.XLOOKUP(C11,'[1]CTR PUB MAN'!$BC$2:$BC$500,'[1]CTR PUB MAN'!$D$2:$D$500)),"")</f>
        <v/>
      </c>
      <c r="E11" s="5" t="str">
        <f>_xlfn.XLOOKUP(C11,[2]Classes!$A$2:$A$500,[2]Classes!$D$2:$D$500)</f>
        <v>CHAMBRE D'AGRICULTURE, DES PÊCHES, DE L'ELEVAGE ET DES FORÊTS DU CAMEROUN (CAPEF)</v>
      </c>
      <c r="F11" s="5" t="str">
        <f>_xlfn.XLOOKUP(C11,[2]Classes!$A$2:$A$500,[2]Classes!$C$2:$C$500)</f>
        <v>CADHAC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25">
      <c r="A12">
        <f t="shared" si="0"/>
        <v>9</v>
      </c>
      <c r="B12" s="5" t="s">
        <v>23</v>
      </c>
      <c r="C12" s="5" t="s">
        <v>104</v>
      </c>
      <c r="D12" s="8" t="str">
        <f>IFERROR(HYPERLINK(_xlfn.XLOOKUP(C12,'[1]CTR PUB MAN'!$BC$2:$BC$500,'[1]CTR PUB MAN'!$D$2:$D$500),_xlfn.XLOOKUP(C12,'[1]CTR PUB MAN'!$BC$2:$BC$500,'[1]CTR PUB MAN'!$D$2:$D$500)),"")</f>
        <v>https://is.gd/4YEwT4</v>
      </c>
      <c r="E12" s="5" t="str">
        <f>_xlfn.XLOOKUP(C12,[2]Classes!$A$2:$A$500,[2]Classes!$D$2:$D$500)</f>
        <v>CHAMBRE D'AGRICULTURE, DES PÊCHES, DE L'ELEVAGE ET DES FORÊTS DU CAMEROUN (CAPEF)</v>
      </c>
      <c r="F12" s="5" t="str">
        <f>_xlfn.XLOOKUP(C12,[2]Classes!$A$2:$A$500,[2]Classes!$C$2:$C$500)</f>
        <v>CADHAC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25">
      <c r="A13">
        <f t="shared" si="0"/>
        <v>10</v>
      </c>
      <c r="B13" s="5" t="s">
        <v>23</v>
      </c>
      <c r="C13" s="5" t="s">
        <v>105</v>
      </c>
      <c r="D13" s="8" t="str">
        <f>IFERROR(HYPERLINK(_xlfn.XLOOKUP(C13,'[1]CTR PUB MAN'!$BC$2:$BC$500,'[1]CTR PUB MAN'!$D$2:$D$500),_xlfn.XLOOKUP(C13,'[1]CTR PUB MAN'!$BC$2:$BC$500,'[1]CTR PUB MAN'!$D$2:$D$500)),"")</f>
        <v>https://is.gd/lbewL2</v>
      </c>
      <c r="E13" s="5" t="str">
        <f>_xlfn.XLOOKUP(C13,[2]Classes!$A$2:$A$500,[2]Classes!$D$2:$D$500)</f>
        <v>CHAMBRE D'AGRICULTURE, DES PÊCHES, DE L'ELEVAGE ET DES FORÊTS DU CAMEROUN (CAPEF)</v>
      </c>
      <c r="F13" s="5" t="str">
        <f>_xlfn.XLOOKUP(C13,[2]Classes!$A$2:$A$500,[2]Classes!$C$2:$C$500)</f>
        <v>CADHAC</v>
      </c>
      <c r="G13" s="5"/>
      <c r="H13" s="5"/>
      <c r="I13" s="5"/>
      <c r="J13" s="5"/>
      <c r="K13" t="s">
        <v>347</v>
      </c>
      <c r="L13">
        <v>696409644</v>
      </c>
      <c r="M13" t="s">
        <v>348</v>
      </c>
      <c r="N13">
        <v>694992684</v>
      </c>
      <c r="O13" s="5"/>
      <c r="P13" s="5"/>
      <c r="Q13" s="5"/>
      <c r="R13" s="5"/>
      <c r="S13" s="5"/>
      <c r="T13" s="5"/>
      <c r="U13" s="5"/>
      <c r="V13" s="5"/>
    </row>
    <row r="14" spans="1:22" x14ac:dyDescent="0.25">
      <c r="A14">
        <f t="shared" si="0"/>
        <v>11</v>
      </c>
      <c r="B14" s="5" t="s">
        <v>23</v>
      </c>
      <c r="C14" s="5" t="s">
        <v>106</v>
      </c>
      <c r="D14" s="8" t="str">
        <f>IFERROR(HYPERLINK(_xlfn.XLOOKUP(C14,'[1]CTR PUB MAN'!$BC$2:$BC$500,'[1]CTR PUB MAN'!$D$2:$D$500),_xlfn.XLOOKUP(C14,'[1]CTR PUB MAN'!$BC$2:$BC$500,'[1]CTR PUB MAN'!$D$2:$D$500)),"")</f>
        <v>https://is.gd/Pbq2zr</v>
      </c>
      <c r="E14" s="5" t="str">
        <f>_xlfn.XLOOKUP(C14,[2]Classes!$A$2:$A$500,[2]Classes!$D$2:$D$500)</f>
        <v>CHAMBRE D'AGRICULTURE, DES PÊCHES, DE L'ELEVAGE ET DES FORÊTS DU CAMEROUN (CAPEF)</v>
      </c>
      <c r="F14" s="5" t="str">
        <f>_xlfn.XLOOKUP(C14,[2]Classes!$A$2:$A$500,[2]Classes!$C$2:$C$500)</f>
        <v>CADHAC</v>
      </c>
      <c r="G14" s="5"/>
      <c r="H14" s="5"/>
      <c r="I14" s="5"/>
      <c r="J14" s="5"/>
      <c r="K14" t="s">
        <v>349</v>
      </c>
      <c r="L14">
        <v>696502592</v>
      </c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25">
      <c r="A15">
        <f t="shared" si="0"/>
        <v>12</v>
      </c>
      <c r="B15" s="5" t="s">
        <v>23</v>
      </c>
      <c r="C15" s="5" t="s">
        <v>107</v>
      </c>
      <c r="D15" s="8" t="str">
        <f>IFERROR(HYPERLINK(_xlfn.XLOOKUP(C15,'[1]CTR PUB MAN'!$BC$2:$BC$500,'[1]CTR PUB MAN'!$D$2:$D$500),_xlfn.XLOOKUP(C15,'[1]CTR PUB MAN'!$BC$2:$BC$500,'[1]CTR PUB MAN'!$D$2:$D$500)),"")</f>
        <v/>
      </c>
      <c r="E15" s="5" t="str">
        <f>_xlfn.XLOOKUP(C15,[2]Classes!$A$2:$A$500,[2]Classes!$D$2:$D$500)</f>
        <v>CHAMBRE D'AGRICULTURE, DES PÊCHES, DE L'ELEVAGE ET DES FORÊTS DU CAMEROUN (CAPEF)</v>
      </c>
      <c r="F15" s="5" t="str">
        <f>_xlfn.XLOOKUP(C15,[2]Classes!$A$2:$A$500,[2]Classes!$C$2:$C$500)</f>
        <v>CADHAC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25">
      <c r="A16">
        <f t="shared" si="0"/>
        <v>13</v>
      </c>
      <c r="B16" s="5" t="s">
        <v>23</v>
      </c>
      <c r="C16" s="5" t="s">
        <v>108</v>
      </c>
      <c r="D16" s="8" t="str">
        <f>IFERROR(HYPERLINK(_xlfn.XLOOKUP(C16,'[1]CTR PUB MAN'!$BC$2:$BC$500,'[1]CTR PUB MAN'!$D$2:$D$500),_xlfn.XLOOKUP(C16,'[1]CTR PUB MAN'!$BC$2:$BC$500,'[1]CTR PUB MAN'!$D$2:$D$500)),"")</f>
        <v/>
      </c>
      <c r="E16" s="5" t="str">
        <f>_xlfn.XLOOKUP(C16,[2]Classes!$A$2:$A$500,[2]Classes!$D$2:$D$500)</f>
        <v>CHAMBRE D'AGRICULTURE, DES PÊCHES, DE L'ELEVAGE ET DES FORÊTS DU CAMEROUN (CAPEF)</v>
      </c>
      <c r="F16" s="5" t="str">
        <f>_xlfn.XLOOKUP(C16,[2]Classes!$A$2:$A$500,[2]Classes!$C$2:$C$500)</f>
        <v>CADHAC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x14ac:dyDescent="0.25">
      <c r="A17">
        <f t="shared" si="0"/>
        <v>14</v>
      </c>
      <c r="B17" s="5" t="s">
        <v>23</v>
      </c>
      <c r="C17" s="5" t="s">
        <v>109</v>
      </c>
      <c r="D17" s="8" t="str">
        <f>IFERROR(HYPERLINK(_xlfn.XLOOKUP(C17,'[1]CTR PUB MAN'!$BC$2:$BC$500,'[1]CTR PUB MAN'!$D$2:$D$500),_xlfn.XLOOKUP(C17,'[1]CTR PUB MAN'!$BC$2:$BC$500,'[1]CTR PUB MAN'!$D$2:$D$500)),"")</f>
        <v/>
      </c>
      <c r="E17" s="5" t="str">
        <f>_xlfn.XLOOKUP(C17,[2]Classes!$A$2:$A$500,[2]Classes!$D$2:$D$500)</f>
        <v>CHAMBRE D'AGRICULTURE, DES PÊCHES, DE L'ELEVAGE ET DES FORÊTS DU CAMEROUN (CAPEF)</v>
      </c>
      <c r="F17" s="5" t="str">
        <f>_xlfn.XLOOKUP(C17,[2]Classes!$A$2:$A$500,[2]Classes!$C$2:$C$500)</f>
        <v>CADHAC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x14ac:dyDescent="0.25">
      <c r="A18">
        <f t="shared" si="0"/>
        <v>15</v>
      </c>
      <c r="B18" s="5" t="s">
        <v>23</v>
      </c>
      <c r="C18" s="5" t="s">
        <v>110</v>
      </c>
      <c r="D18" s="8" t="str">
        <f>IFERROR(HYPERLINK(_xlfn.XLOOKUP(C18,'[1]CTR PUB MAN'!$BC$2:$BC$500,'[1]CTR PUB MAN'!$D$2:$D$500),_xlfn.XLOOKUP(C18,'[1]CTR PUB MAN'!$BC$2:$BC$500,'[1]CTR PUB MAN'!$D$2:$D$500)),"")</f>
        <v>https://is.gd/hsnjcW</v>
      </c>
      <c r="E18" s="5" t="str">
        <f>_xlfn.XLOOKUP(C18,[2]Classes!$A$2:$A$500,[2]Classes!$D$2:$D$500)</f>
        <v>CHAMBRE D'AGRICULTURE, DES PÊCHES, DE L'ELEVAGE ET DES FORÊTS DU CAMEROUN (CAPEF)</v>
      </c>
      <c r="F18" s="5" t="str">
        <f>_xlfn.XLOOKUP(C18,[2]Classes!$A$2:$A$500,[2]Classes!$C$2:$C$500)</f>
        <v>CADHAC</v>
      </c>
      <c r="G18" s="5"/>
      <c r="H18" s="5"/>
      <c r="I18" s="5"/>
      <c r="J18" s="5"/>
      <c r="K18" t="s">
        <v>350</v>
      </c>
      <c r="L18">
        <v>676330851</v>
      </c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x14ac:dyDescent="0.25">
      <c r="A19">
        <f t="shared" si="0"/>
        <v>16</v>
      </c>
      <c r="B19" s="5" t="s">
        <v>23</v>
      </c>
      <c r="C19" s="5" t="s">
        <v>111</v>
      </c>
      <c r="D19" s="8" t="str">
        <f>IFERROR(HYPERLINK(_xlfn.XLOOKUP(C19,'[1]CTR PUB MAN'!$BC$2:$BC$500,'[1]CTR PUB MAN'!$D$2:$D$500),_xlfn.XLOOKUP(C19,'[1]CTR PUB MAN'!$BC$2:$BC$500,'[1]CTR PUB MAN'!$D$2:$D$500)),"")</f>
        <v/>
      </c>
      <c r="E19" s="5" t="str">
        <f>_xlfn.XLOOKUP(C19,[2]Classes!$A$2:$A$500,[2]Classes!$D$2:$D$500)</f>
        <v>CHAMBRE D'AGRICULTURE, DES PÊCHES, DE L'ELEVAGE ET DES FORÊTS DU CAMEROUN (CAPEF)</v>
      </c>
      <c r="F19" s="5" t="str">
        <f>_xlfn.XLOOKUP(C19,[2]Classes!$A$2:$A$500,[2]Classes!$C$2:$C$500)</f>
        <v>CADHAC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1:22" x14ac:dyDescent="0.25">
      <c r="A20">
        <f t="shared" si="0"/>
        <v>17</v>
      </c>
      <c r="B20" s="5" t="s">
        <v>23</v>
      </c>
      <c r="C20" s="5" t="s">
        <v>112</v>
      </c>
      <c r="D20" s="8" t="str">
        <f>IFERROR(HYPERLINK(_xlfn.XLOOKUP(C20,'[1]CTR PUB MAN'!$BC$2:$BC$500,'[1]CTR PUB MAN'!$D$2:$D$500),_xlfn.XLOOKUP(C20,'[1]CTR PUB MAN'!$BC$2:$BC$500,'[1]CTR PUB MAN'!$D$2:$D$500)),"")</f>
        <v/>
      </c>
      <c r="E20" s="5" t="str">
        <f>_xlfn.XLOOKUP(C20,[2]Classes!$A$2:$A$500,[2]Classes!$D$2:$D$500)</f>
        <v>CHAMBRE D'AGRICULTURE, DES PÊCHES, DE L'ELEVAGE ET DES FORÊTS DU CAMEROUN (CAPEF)</v>
      </c>
      <c r="F20" s="5" t="str">
        <f>_xlfn.XLOOKUP(C20,[2]Classes!$A$2:$A$500,[2]Classes!$C$2:$C$500)</f>
        <v>CADHAC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x14ac:dyDescent="0.25">
      <c r="A21">
        <f t="shared" si="0"/>
        <v>18</v>
      </c>
      <c r="B21" s="5" t="s">
        <v>23</v>
      </c>
      <c r="C21" s="5" t="s">
        <v>113</v>
      </c>
      <c r="D21" s="8" t="str">
        <f>IFERROR(HYPERLINK(_xlfn.XLOOKUP(C21,'[1]CTR PUB MAN'!$BC$2:$BC$500,'[1]CTR PUB MAN'!$D$2:$D$500),_xlfn.XLOOKUP(C21,'[1]CTR PUB MAN'!$BC$2:$BC$500,'[1]CTR PUB MAN'!$D$2:$D$500)),"")</f>
        <v>https://is.gd/rybIMN</v>
      </c>
      <c r="E21" s="5" t="str">
        <f>_xlfn.XLOOKUP(C21,[2]Classes!$A$2:$A$500,[2]Classes!$D$2:$D$500)</f>
        <v>CHAMBRE D'AGRICULTURE, DES PÊCHES, DE L'ELEVAGE ET DES FORÊTS DU CAMEROUN (CAPEF)</v>
      </c>
      <c r="F21" s="5" t="str">
        <f>_xlfn.XLOOKUP(C21,[2]Classes!$A$2:$A$500,[2]Classes!$C$2:$C$500)</f>
        <v>CADHAC</v>
      </c>
      <c r="G21" s="5"/>
      <c r="H21" s="5"/>
      <c r="I21" s="5"/>
      <c r="J21" s="5"/>
      <c r="K21" t="s">
        <v>351</v>
      </c>
      <c r="L21" t="s">
        <v>352</v>
      </c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 x14ac:dyDescent="0.25">
      <c r="A22">
        <f t="shared" si="0"/>
        <v>19</v>
      </c>
      <c r="B22" s="5" t="s">
        <v>23</v>
      </c>
      <c r="C22" s="5" t="s">
        <v>114</v>
      </c>
      <c r="D22" s="8" t="str">
        <f>IFERROR(HYPERLINK(_xlfn.XLOOKUP(C22,'[1]CTR PUB MAN'!$BC$2:$BC$500,'[1]CTR PUB MAN'!$D$2:$D$500),_xlfn.XLOOKUP(C22,'[1]CTR PUB MAN'!$BC$2:$BC$500,'[1]CTR PUB MAN'!$D$2:$D$500)),"")</f>
        <v/>
      </c>
      <c r="E22" s="5" t="str">
        <f>_xlfn.XLOOKUP(C22,[2]Classes!$A$2:$A$500,[2]Classes!$D$2:$D$500)</f>
        <v>CHAMBRE D'AGRICULTURE, DES PÊCHES, DE L'ELEVAGE ET DES FORÊTS DU CAMEROUN (CAPEF)</v>
      </c>
      <c r="F22" s="5" t="str">
        <f>_xlfn.XLOOKUP(C22,[2]Classes!$A$2:$A$500,[2]Classes!$C$2:$C$500)</f>
        <v>CADHAC</v>
      </c>
      <c r="G22" s="5"/>
      <c r="H22" s="5"/>
      <c r="I22" s="5"/>
      <c r="J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x14ac:dyDescent="0.25">
      <c r="A23">
        <f t="shared" si="0"/>
        <v>20</v>
      </c>
      <c r="B23" s="5" t="s">
        <v>23</v>
      </c>
      <c r="C23" s="5" t="s">
        <v>115</v>
      </c>
      <c r="D23" s="8" t="str">
        <f>IFERROR(HYPERLINK(_xlfn.XLOOKUP(C23,'[1]CTR PUB MAN'!$BC$2:$BC$500,'[1]CTR PUB MAN'!$D$2:$D$500),_xlfn.XLOOKUP(C23,'[1]CTR PUB MAN'!$BC$2:$BC$500,'[1]CTR PUB MAN'!$D$2:$D$500)),"")</f>
        <v/>
      </c>
      <c r="E23" s="5" t="str">
        <f>_xlfn.XLOOKUP(C23,[2]Classes!$A$2:$A$500,[2]Classes!$D$2:$D$500)</f>
        <v>CHAMBRE D'AGRICULTURE, DES PÊCHES, DE L'ELEVAGE ET DES FORÊTS DU CAMEROUN (CAPEF)</v>
      </c>
      <c r="F23" s="5" t="str">
        <f>_xlfn.XLOOKUP(C23,[2]Classes!$A$2:$A$500,[2]Classes!$C$2:$C$500)</f>
        <v>CADHAC</v>
      </c>
      <c r="G23" s="5"/>
      <c r="H23" s="5"/>
      <c r="I23" s="5"/>
      <c r="J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x14ac:dyDescent="0.25">
      <c r="A24">
        <f t="shared" si="0"/>
        <v>21</v>
      </c>
      <c r="B24" s="5" t="s">
        <v>23</v>
      </c>
      <c r="C24" s="5" t="s">
        <v>116</v>
      </c>
      <c r="D24" s="8" t="str">
        <f>IFERROR(HYPERLINK(_xlfn.XLOOKUP(C24,'[1]CTR PUB MAN'!$BC$2:$BC$500,'[1]CTR PUB MAN'!$D$2:$D$500),_xlfn.XLOOKUP(C24,'[1]CTR PUB MAN'!$BC$2:$BC$500,'[1]CTR PUB MAN'!$D$2:$D$500)),"")</f>
        <v>https://is.gd/Rm68JL</v>
      </c>
      <c r="E24" s="5" t="str">
        <f>_xlfn.XLOOKUP(C24,[2]Classes!$A$2:$A$500,[2]Classes!$D$2:$D$500)</f>
        <v>CHAMBRE D'AGRICULTURE, DES PÊCHES, DE L'ELEVAGE ET DES FORÊTS DU CAMEROUN (CAPEF)</v>
      </c>
      <c r="F24" s="5" t="str">
        <f>_xlfn.XLOOKUP(C24,[2]Classes!$A$2:$A$500,[2]Classes!$C$2:$C$500)</f>
        <v>CADHAC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 x14ac:dyDescent="0.25">
      <c r="A25">
        <f t="shared" si="0"/>
        <v>22</v>
      </c>
      <c r="B25" s="5" t="s">
        <v>23</v>
      </c>
      <c r="C25" s="5" t="s">
        <v>117</v>
      </c>
      <c r="D25" s="8" t="str">
        <f>IFERROR(HYPERLINK(_xlfn.XLOOKUP(C25,'[1]CTR PUB MAN'!$BC$2:$BC$500,'[1]CTR PUB MAN'!$D$2:$D$500),_xlfn.XLOOKUP(C25,'[1]CTR PUB MAN'!$BC$2:$BC$500,'[1]CTR PUB MAN'!$D$2:$D$500)),"")</f>
        <v>https://is.gd/LzSGMk</v>
      </c>
      <c r="E25" s="5" t="str">
        <f>_xlfn.XLOOKUP(C25,[2]Classes!$A$2:$A$500,[2]Classes!$D$2:$D$500)</f>
        <v>CHAMBRE D'AGRICULTURE, DES PÊCHES, DE L'ELEVAGE ET DES FORÊTS DU CAMEROUN (CAPEF)</v>
      </c>
      <c r="F25" s="5" t="str">
        <f>_xlfn.XLOOKUP(C25,[2]Classes!$A$2:$A$500,[2]Classes!$C$2:$C$500)</f>
        <v>CADHAC</v>
      </c>
      <c r="G25" s="5"/>
      <c r="H25" s="5"/>
      <c r="I25" s="5"/>
      <c r="J25" s="5"/>
      <c r="K25" t="s">
        <v>353</v>
      </c>
      <c r="L25" t="s">
        <v>354</v>
      </c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1:22" x14ac:dyDescent="0.25">
      <c r="A26">
        <f t="shared" si="0"/>
        <v>23</v>
      </c>
      <c r="B26" s="5" t="s">
        <v>24</v>
      </c>
      <c r="C26" s="5" t="s">
        <v>118</v>
      </c>
      <c r="D26" s="8" t="str">
        <f>IFERROR(HYPERLINK(_xlfn.XLOOKUP(C26,'[1]CTR PUB MAN'!$BC$2:$BC$500,'[1]CTR PUB MAN'!$D$2:$D$500),_xlfn.XLOOKUP(C26,'[1]CTR PUB MAN'!$BC$2:$BC$500,'[1]CTR PUB MAN'!$D$2:$D$500)),"")</f>
        <v>https://is.gd/97cf7Q</v>
      </c>
      <c r="E26" s="5" t="str">
        <f>_xlfn.XLOOKUP(C26,[2]Classes!$A$2:$A$500,[2]Classes!$D$2:$D$500)</f>
        <v>GIPEC TOUKAM</v>
      </c>
      <c r="F26" s="5" t="str">
        <f>_xlfn.XLOOKUP(C26,[2]Classes!$A$2:$A$500,[2]Classes!$C$2:$C$500)</f>
        <v>MOORE STEPHEN</v>
      </c>
      <c r="G26" s="5"/>
      <c r="H26" s="5"/>
      <c r="I26" s="5"/>
      <c r="J26" s="5"/>
      <c r="K26" t="s">
        <v>355</v>
      </c>
      <c r="L26" t="s">
        <v>356</v>
      </c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1:22" x14ac:dyDescent="0.25">
      <c r="A27">
        <f t="shared" si="0"/>
        <v>24</v>
      </c>
      <c r="B27" s="5" t="s">
        <v>25</v>
      </c>
      <c r="C27" s="5" t="s">
        <v>119</v>
      </c>
      <c r="D27" s="8" t="str">
        <f>IFERROR(HYPERLINK(_xlfn.XLOOKUP(C27,'[1]CTR PUB MAN'!$BC$2:$BC$500,'[1]CTR PUB MAN'!$D$2:$D$500),_xlfn.XLOOKUP(C27,'[1]CTR PUB MAN'!$BC$2:$BC$500,'[1]CTR PUB MAN'!$D$2:$D$500)),"")</f>
        <v/>
      </c>
      <c r="E27" s="5" t="str">
        <f>_xlfn.XLOOKUP(C27,[2]Classes!$A$2:$A$500,[2]Classes!$D$2:$D$500)</f>
        <v>SCOOP - CA LE MEMENTO DE L'AGRICULTURE DU CAMEROUN</v>
      </c>
      <c r="F27" s="5" t="str">
        <f>_xlfn.XLOOKUP(C27,[2]Classes!$A$2:$A$500,[2]Classes!$C$2:$C$500)</f>
        <v>PROFALCAM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1:22" x14ac:dyDescent="0.25">
      <c r="A28">
        <f t="shared" si="0"/>
        <v>25</v>
      </c>
      <c r="B28" s="5" t="s">
        <v>26</v>
      </c>
      <c r="C28" s="5" t="s">
        <v>120</v>
      </c>
      <c r="D28" s="8" t="str">
        <f>IFERROR(HYPERLINK(_xlfn.XLOOKUP(C28,'[1]CTR PUB MAN'!$BC$2:$BC$500,'[1]CTR PUB MAN'!$D$2:$D$500),_xlfn.XLOOKUP(C28,'[1]CTR PUB MAN'!$BC$2:$BC$500,'[1]CTR PUB MAN'!$D$2:$D$500)),"")</f>
        <v>https://is.gd/9FIpRh</v>
      </c>
      <c r="E28" s="5" t="str">
        <f>_xlfn.XLOOKUP(C28,[2]Classes!$A$2:$A$500,[2]Classes!$D$2:$D$500)</f>
        <v>CONFEDERATION CAMEROUNAISE DES PME ET METIERS DE LA MODE, TEXTILE-CONFECTION, CUIR, BAMBOU ET BIEN-ÊTRE (CCMTB)</v>
      </c>
      <c r="F28" s="5" t="str">
        <f>_xlfn.XLOOKUP(C28,[2]Classes!$A$2:$A$500,[2]Classes!$C$2:$C$500)</f>
        <v>CFP WELL BEING EXPERTS</v>
      </c>
      <c r="G28" s="5"/>
      <c r="H28" s="5"/>
      <c r="I28" s="5"/>
      <c r="J28" s="5"/>
      <c r="K28" t="s">
        <v>357</v>
      </c>
      <c r="L28" s="5">
        <v>699504999</v>
      </c>
      <c r="M28" t="s">
        <v>358</v>
      </c>
      <c r="N28" s="5">
        <v>697647604</v>
      </c>
      <c r="O28" t="s">
        <v>359</v>
      </c>
      <c r="P28" s="5">
        <v>697597047</v>
      </c>
      <c r="Q28" t="s">
        <v>360</v>
      </c>
      <c r="R28" s="5">
        <v>699884255</v>
      </c>
      <c r="S28" t="s">
        <v>361</v>
      </c>
      <c r="T28" s="5">
        <v>693831866</v>
      </c>
      <c r="U28" t="s">
        <v>362</v>
      </c>
      <c r="V28" s="5">
        <v>699338217</v>
      </c>
    </row>
    <row r="29" spans="1:22" x14ac:dyDescent="0.25">
      <c r="A29">
        <f t="shared" si="0"/>
        <v>26</v>
      </c>
      <c r="B29" s="5" t="s">
        <v>26</v>
      </c>
      <c r="C29" s="5" t="s">
        <v>121</v>
      </c>
      <c r="D29" s="8" t="str">
        <f>IFERROR(HYPERLINK(_xlfn.XLOOKUP(C29,'[1]CTR PUB MAN'!$BC$2:$BC$500,'[1]CTR PUB MAN'!$D$2:$D$500),_xlfn.XLOOKUP(C29,'[1]CTR PUB MAN'!$BC$2:$BC$500,'[1]CTR PUB MAN'!$D$2:$D$500)),"")</f>
        <v/>
      </c>
      <c r="E29" s="5" t="str">
        <f>_xlfn.XLOOKUP(C29,[2]Classes!$A$2:$A$500,[2]Classes!$D$2:$D$500)</f>
        <v>CONFEDERATION CAMEROUNAISE DES PME ET METIERS DE LA MODE, TEXTILE-CONFECTION, CUIR, BAMBOU ET BIEN-ÊTRE (CCMTB)</v>
      </c>
      <c r="F29" s="5" t="str">
        <f>_xlfn.XLOOKUP(C29,[2]Classes!$A$2:$A$500,[2]Classes!$C$2:$C$500)</f>
        <v>CFP WELL BEING EXPERTS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1:22" x14ac:dyDescent="0.25">
      <c r="A30">
        <f t="shared" si="0"/>
        <v>27</v>
      </c>
      <c r="B30" s="5" t="s">
        <v>26</v>
      </c>
      <c r="C30" s="5" t="s">
        <v>122</v>
      </c>
      <c r="D30" s="8" t="str">
        <f>IFERROR(HYPERLINK(_xlfn.XLOOKUP(C30,'[1]CTR PUB MAN'!$BC$2:$BC$500,'[1]CTR PUB MAN'!$D$2:$D$500),_xlfn.XLOOKUP(C30,'[1]CTR PUB MAN'!$BC$2:$BC$500,'[1]CTR PUB MAN'!$D$2:$D$500)),"")</f>
        <v/>
      </c>
      <c r="E30" s="5" t="str">
        <f>_xlfn.XLOOKUP(C30,[2]Classes!$A$2:$A$500,[2]Classes!$D$2:$D$500)</f>
        <v>CONFEDERATION CAMEROUNAISE DES PME ET METIERS DE LA MODE, TEXTILE-CONFECTION, CUIR, BAMBOU ET BIEN-ÊTRE (CCMTB)</v>
      </c>
      <c r="F30" s="5" t="str">
        <f>_xlfn.XLOOKUP(C30,[2]Classes!$A$2:$A$500,[2]Classes!$C$2:$C$500)</f>
        <v>CFP WELL BEING EXPERTS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x14ac:dyDescent="0.25">
      <c r="A31">
        <f t="shared" si="0"/>
        <v>28</v>
      </c>
      <c r="B31" s="5" t="s">
        <v>26</v>
      </c>
      <c r="C31" s="5" t="s">
        <v>123</v>
      </c>
      <c r="D31" s="8" t="str">
        <f>IFERROR(HYPERLINK(_xlfn.XLOOKUP(C31,'[1]CTR PUB MAN'!$BC$2:$BC$500,'[1]CTR PUB MAN'!$D$2:$D$500),_xlfn.XLOOKUP(C31,'[1]CTR PUB MAN'!$BC$2:$BC$500,'[1]CTR PUB MAN'!$D$2:$D$500)),"")</f>
        <v/>
      </c>
      <c r="E31" s="5" t="str">
        <f>_xlfn.XLOOKUP(C31,[2]Classes!$A$2:$A$500,[2]Classes!$D$2:$D$500)</f>
        <v>CONFEDERATION CAMEROUNAISE DES PME ET METIERS DE LA MODE, TEXTILE-CONFECTION, CUIR, BAMBOU ET BIEN-ÊTRE (CCMTB)</v>
      </c>
      <c r="F31" s="5" t="str">
        <f>_xlfn.XLOOKUP(C31,[2]Classes!$A$2:$A$500,[2]Classes!$C$2:$C$500)</f>
        <v>CFP WELL BEING EXPERTS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x14ac:dyDescent="0.25">
      <c r="A32">
        <f t="shared" si="0"/>
        <v>29</v>
      </c>
      <c r="B32" s="5" t="s">
        <v>26</v>
      </c>
      <c r="C32" s="5" t="s">
        <v>124</v>
      </c>
      <c r="D32" s="8" t="str">
        <f>IFERROR(HYPERLINK(_xlfn.XLOOKUP(C32,'[1]CTR PUB MAN'!$BC$2:$BC$500,'[1]CTR PUB MAN'!$D$2:$D$500),_xlfn.XLOOKUP(C32,'[1]CTR PUB MAN'!$BC$2:$BC$500,'[1]CTR PUB MAN'!$D$2:$D$500)),"")</f>
        <v/>
      </c>
      <c r="E32" s="5" t="str">
        <f>_xlfn.XLOOKUP(C32,[2]Classes!$A$2:$A$500,[2]Classes!$D$2:$D$500)</f>
        <v>CONFEDERATION CAMEROUNAISE DES PME ET METIERS DE LA MODE, TEXTILE-CONFECTION, CUIR, BAMBOU ET BIEN-ÊTRE (CCMTB)</v>
      </c>
      <c r="F32" s="5" t="str">
        <f>_xlfn.XLOOKUP(C32,[2]Classes!$A$2:$A$500,[2]Classes!$C$2:$C$500)</f>
        <v>CFP WELL BEING EXPERTS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1:22" x14ac:dyDescent="0.25">
      <c r="A33">
        <f t="shared" si="0"/>
        <v>30</v>
      </c>
      <c r="B33" s="5" t="s">
        <v>26</v>
      </c>
      <c r="C33" s="5" t="s">
        <v>125</v>
      </c>
      <c r="D33" s="8" t="str">
        <f>IFERROR(HYPERLINK(_xlfn.XLOOKUP(C33,'[1]CTR PUB MAN'!$BC$2:$BC$500,'[1]CTR PUB MAN'!$D$2:$D$500),_xlfn.XLOOKUP(C33,'[1]CTR PUB MAN'!$BC$2:$BC$500,'[1]CTR PUB MAN'!$D$2:$D$500)),"")</f>
        <v/>
      </c>
      <c r="E33" s="5" t="str">
        <f>_xlfn.XLOOKUP(C33,[2]Classes!$A$2:$A$500,[2]Classes!$D$2:$D$500)</f>
        <v>CONFEDERATION CAMEROUNAISE DES PME ET METIERS DE LA MODE, TEXTILE-CONFECTION, CUIR, BAMBOU ET BIEN-ÊTRE (CCMTB)</v>
      </c>
      <c r="F33" s="5" t="str">
        <f>_xlfn.XLOOKUP(C33,[2]Classes!$A$2:$A$500,[2]Classes!$C$2:$C$500)</f>
        <v>CFP WELL BEING EXPERTS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x14ac:dyDescent="0.25">
      <c r="A34">
        <f t="shared" si="0"/>
        <v>31</v>
      </c>
      <c r="B34" s="5" t="s">
        <v>26</v>
      </c>
      <c r="C34" s="5" t="s">
        <v>126</v>
      </c>
      <c r="D34" s="8" t="str">
        <f>IFERROR(HYPERLINK(_xlfn.XLOOKUP(C34,'[1]CTR PUB MAN'!$BC$2:$BC$500,'[1]CTR PUB MAN'!$D$2:$D$500),_xlfn.XLOOKUP(C34,'[1]CTR PUB MAN'!$BC$2:$BC$500,'[1]CTR PUB MAN'!$D$2:$D$500)),"")</f>
        <v/>
      </c>
      <c r="E34" s="5" t="str">
        <f>_xlfn.XLOOKUP(C34,[2]Classes!$A$2:$A$500,[2]Classes!$D$2:$D$500)</f>
        <v>CONFEDERATION CAMEROUNAISE DES PME ET METIERS DE LA MODE, TEXTILE-CONFECTION, CUIR, BAMBOU ET BIEN-ÊTRE (CCMTB)</v>
      </c>
      <c r="F34" s="5" t="str">
        <f>_xlfn.XLOOKUP(C34,[2]Classes!$A$2:$A$500,[2]Classes!$C$2:$C$500)</f>
        <v>CFP WELL BEING EXPERTS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1:22" x14ac:dyDescent="0.25">
      <c r="A35">
        <f t="shared" si="0"/>
        <v>32</v>
      </c>
      <c r="B35" s="5" t="s">
        <v>26</v>
      </c>
      <c r="C35" s="5" t="s">
        <v>127</v>
      </c>
      <c r="D35" s="8" t="str">
        <f>IFERROR(HYPERLINK(_xlfn.XLOOKUP(C35,'[1]CTR PUB MAN'!$BC$2:$BC$500,'[1]CTR PUB MAN'!$D$2:$D$500),_xlfn.XLOOKUP(C35,'[1]CTR PUB MAN'!$BC$2:$BC$500,'[1]CTR PUB MAN'!$D$2:$D$500)),"")</f>
        <v/>
      </c>
      <c r="E35" s="5" t="str">
        <f>_xlfn.XLOOKUP(C35,[2]Classes!$A$2:$A$500,[2]Classes!$D$2:$D$500)</f>
        <v>CONFEDERATION CAMEROUNAISE DES PME ET METIERS DE LA MODE, TEXTILE-CONFECTION, CUIR, BAMBOU ET BIEN-ÊTRE (CCMTB)</v>
      </c>
      <c r="F35" s="5" t="str">
        <f>_xlfn.XLOOKUP(C35,[2]Classes!$A$2:$A$500,[2]Classes!$C$2:$C$500)</f>
        <v>CFP WELL BEING EXPERTS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x14ac:dyDescent="0.25">
      <c r="A36">
        <f t="shared" si="0"/>
        <v>33</v>
      </c>
      <c r="B36" s="5" t="s">
        <v>26</v>
      </c>
      <c r="C36" s="5" t="s">
        <v>128</v>
      </c>
      <c r="D36" s="8" t="str">
        <f>IFERROR(HYPERLINK(_xlfn.XLOOKUP(C36,'[1]CTR PUB MAN'!$BC$2:$BC$500,'[1]CTR PUB MAN'!$D$2:$D$500),_xlfn.XLOOKUP(C36,'[1]CTR PUB MAN'!$BC$2:$BC$500,'[1]CTR PUB MAN'!$D$2:$D$500)),"")</f>
        <v/>
      </c>
      <c r="E36" s="5" t="str">
        <f>_xlfn.XLOOKUP(C36,[2]Classes!$A$2:$A$500,[2]Classes!$D$2:$D$500)</f>
        <v>CONFEDERATION CAMEROUNAISE DES PME ET METIERS DE LA MODE, TEXTILE-CONFECTION, CUIR, BAMBOU ET BIEN-ÊTRE (CCMTB)</v>
      </c>
      <c r="F36" s="5" t="str">
        <f>_xlfn.XLOOKUP(C36,[2]Classes!$A$2:$A$500,[2]Classes!$C$2:$C$500)</f>
        <v>CFP WELL BEING EXPERTS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x14ac:dyDescent="0.25">
      <c r="A37">
        <f t="shared" si="0"/>
        <v>34</v>
      </c>
      <c r="B37" s="5" t="s">
        <v>26</v>
      </c>
      <c r="C37" s="5" t="s">
        <v>129</v>
      </c>
      <c r="D37" s="8" t="str">
        <f>IFERROR(HYPERLINK(_xlfn.XLOOKUP(C37,'[1]CTR PUB MAN'!$BC$2:$BC$500,'[1]CTR PUB MAN'!$D$2:$D$500),_xlfn.XLOOKUP(C37,'[1]CTR PUB MAN'!$BC$2:$BC$500,'[1]CTR PUB MAN'!$D$2:$D$500)),"")</f>
        <v/>
      </c>
      <c r="E37" s="5" t="str">
        <f>_xlfn.XLOOKUP(C37,[2]Classes!$A$2:$A$500,[2]Classes!$D$2:$D$500)</f>
        <v>CONFEDERATION CAMEROUNAISE DES PME ET METIERS DE LA MODE, TEXTILE-CONFECTION, CUIR, BAMBOU ET BIEN-ÊTRE (CCMTB)</v>
      </c>
      <c r="F37" s="5" t="str">
        <f>_xlfn.XLOOKUP(C37,[2]Classes!$A$2:$A$500,[2]Classes!$C$2:$C$500)</f>
        <v>CFP WELL BEING EXPERTS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x14ac:dyDescent="0.25">
      <c r="A38">
        <f t="shared" si="0"/>
        <v>35</v>
      </c>
      <c r="B38" s="5" t="s">
        <v>26</v>
      </c>
      <c r="C38" s="5" t="s">
        <v>130</v>
      </c>
      <c r="D38" s="8" t="str">
        <f>IFERROR(HYPERLINK(_xlfn.XLOOKUP(C38,'[1]CTR PUB MAN'!$BC$2:$BC$500,'[1]CTR PUB MAN'!$D$2:$D$500),_xlfn.XLOOKUP(C38,'[1]CTR PUB MAN'!$BC$2:$BC$500,'[1]CTR PUB MAN'!$D$2:$D$500)),"")</f>
        <v/>
      </c>
      <c r="E38" s="5" t="str">
        <f>_xlfn.XLOOKUP(C38,[2]Classes!$A$2:$A$500,[2]Classes!$D$2:$D$500)</f>
        <v>CONFEDERATION CAMEROUNAISE DES PME ET METIERS DE LA MODE, TEXTILE-CONFECTION, CUIR, BAMBOU ET BIEN-ÊTRE (CCMTB)</v>
      </c>
      <c r="F38" s="5" t="str">
        <f>_xlfn.XLOOKUP(C38,[2]Classes!$A$2:$A$500,[2]Classes!$C$2:$C$500)</f>
        <v>CFP WELL BEING EXPERTS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x14ac:dyDescent="0.25">
      <c r="A39">
        <f t="shared" si="0"/>
        <v>36</v>
      </c>
      <c r="B39" s="5" t="s">
        <v>26</v>
      </c>
      <c r="C39" s="5" t="s">
        <v>131</v>
      </c>
      <c r="D39" s="8" t="str">
        <f>IFERROR(HYPERLINK(_xlfn.XLOOKUP(C39,'[1]CTR PUB MAN'!$BC$2:$BC$500,'[1]CTR PUB MAN'!$D$2:$D$500),_xlfn.XLOOKUP(C39,'[1]CTR PUB MAN'!$BC$2:$BC$500,'[1]CTR PUB MAN'!$D$2:$D$500)),"")</f>
        <v/>
      </c>
      <c r="E39" s="5" t="str">
        <f>_xlfn.XLOOKUP(C39,[2]Classes!$A$2:$A$500,[2]Classes!$D$2:$D$500)</f>
        <v>CONFEDERATION CAMEROUNAISE DES PME ET METIERS DE LA MODE, TEXTILE-CONFECTION, CUIR, BAMBOU ET BIEN-ÊTRE (CCMTB)</v>
      </c>
      <c r="F39" s="5" t="str">
        <f>_xlfn.XLOOKUP(C39,[2]Classes!$A$2:$A$500,[2]Classes!$C$2:$C$500)</f>
        <v>CFP WELL BEING EXPERTS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x14ac:dyDescent="0.25">
      <c r="A40">
        <f t="shared" si="0"/>
        <v>37</v>
      </c>
      <c r="B40" s="5" t="s">
        <v>26</v>
      </c>
      <c r="C40" s="5" t="s">
        <v>132</v>
      </c>
      <c r="D40" s="8" t="str">
        <f>IFERROR(HYPERLINK(_xlfn.XLOOKUP(C40,'[1]CTR PUB MAN'!$BC$2:$BC$500,'[1]CTR PUB MAN'!$D$2:$D$500),_xlfn.XLOOKUP(C40,'[1]CTR PUB MAN'!$BC$2:$BC$500,'[1]CTR PUB MAN'!$D$2:$D$500)),"")</f>
        <v/>
      </c>
      <c r="E40" s="5" t="str">
        <f>_xlfn.XLOOKUP(C40,[2]Classes!$A$2:$A$500,[2]Classes!$D$2:$D$500)</f>
        <v>CONFEDERATION CAMEROUNAISE DES PME ET METIERS DE LA MODE, TEXTILE-CONFECTION, CUIR, BAMBOU ET BIEN-ÊTRE (CCMTB)</v>
      </c>
      <c r="F40" s="5" t="str">
        <f>_xlfn.XLOOKUP(C40,[2]Classes!$A$2:$A$500,[2]Classes!$C$2:$C$500)</f>
        <v>CFP WELL BEING EXPERTS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x14ac:dyDescent="0.25">
      <c r="A41">
        <f t="shared" si="0"/>
        <v>38</v>
      </c>
      <c r="B41" s="5" t="s">
        <v>26</v>
      </c>
      <c r="C41" s="5" t="s">
        <v>133</v>
      </c>
      <c r="D41" s="8" t="str">
        <f>IFERROR(HYPERLINK(_xlfn.XLOOKUP(C41,'[1]CTR PUB MAN'!$BC$2:$BC$500,'[1]CTR PUB MAN'!$D$2:$D$500),_xlfn.XLOOKUP(C41,'[1]CTR PUB MAN'!$BC$2:$BC$500,'[1]CTR PUB MAN'!$D$2:$D$500)),"")</f>
        <v/>
      </c>
      <c r="E41" s="5" t="str">
        <f>_xlfn.XLOOKUP(C41,[2]Classes!$A$2:$A$500,[2]Classes!$D$2:$D$500)</f>
        <v>CONFEDERATION CAMEROUNAISE DES PME ET METIERS DE LA MODE, TEXTILE-CONFECTION, CUIR, BAMBOU ET BIEN-ÊTRE (CCMTB)</v>
      </c>
      <c r="F41" s="5" t="str">
        <f>_xlfn.XLOOKUP(C41,[2]Classes!$A$2:$A$500,[2]Classes!$C$2:$C$500)</f>
        <v>CFP WELL BEING EXPERTS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x14ac:dyDescent="0.25">
      <c r="A42">
        <f t="shared" si="0"/>
        <v>39</v>
      </c>
      <c r="B42" s="5" t="s">
        <v>26</v>
      </c>
      <c r="C42" s="5" t="s">
        <v>134</v>
      </c>
      <c r="D42" s="8" t="str">
        <f>IFERROR(HYPERLINK(_xlfn.XLOOKUP(C42,'[1]CTR PUB MAN'!$BC$2:$BC$500,'[1]CTR PUB MAN'!$D$2:$D$500),_xlfn.XLOOKUP(C42,'[1]CTR PUB MAN'!$BC$2:$BC$500,'[1]CTR PUB MAN'!$D$2:$D$500)),"")</f>
        <v/>
      </c>
      <c r="E42" s="5" t="str">
        <f>_xlfn.XLOOKUP(C42,[2]Classes!$A$2:$A$500,[2]Classes!$D$2:$D$500)</f>
        <v>CONFEDERATION CAMEROUNAISE DES PME ET METIERS DE LA MODE, TEXTILE-CONFECTION, CUIR, BAMBOU ET BIEN-ÊTRE (CCMTB)</v>
      </c>
      <c r="F42" s="5" t="str">
        <f>_xlfn.XLOOKUP(C42,[2]Classes!$A$2:$A$500,[2]Classes!$C$2:$C$500)</f>
        <v>CFP WELL BEING EXPERTS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x14ac:dyDescent="0.25">
      <c r="A43">
        <f t="shared" si="0"/>
        <v>40</v>
      </c>
      <c r="B43" s="5" t="s">
        <v>27</v>
      </c>
      <c r="C43" s="5" t="s">
        <v>135</v>
      </c>
      <c r="D43" s="8" t="str">
        <f>IFERROR(HYPERLINK(_xlfn.XLOOKUP(C43,'[1]CTR PUB MAN'!$BC$2:$BC$500,'[1]CTR PUB MAN'!$D$2:$D$500),_xlfn.XLOOKUP(C43,'[1]CTR PUB MAN'!$BC$2:$BC$500,'[1]CTR PUB MAN'!$D$2:$D$500)),"")</f>
        <v>https://is.gd/KXpibO</v>
      </c>
      <c r="E43" s="5" t="str">
        <f>_xlfn.XLOOKUP(C43,[2]Classes!$A$2:$A$500,[2]Classes!$D$2:$D$500)</f>
        <v>ASSOCIATION DES ENTREPRISES DES ZONES INDUSTRIELLES MAGZI DE DOUALA-EZIMAD</v>
      </c>
      <c r="F43" s="5" t="str">
        <f>_xlfn.XLOOKUP(C43,[2]Classes!$A$2:$A$500,[2]Classes!$C$2:$C$500)</f>
        <v>FIRE ENGINEERING CONSULTINGS (FECS) Sarl</v>
      </c>
      <c r="G43" s="5"/>
      <c r="H43" s="5"/>
      <c r="I43" s="5"/>
      <c r="J43" s="5"/>
      <c r="K43" t="s">
        <v>363</v>
      </c>
      <c r="L43">
        <v>696589180</v>
      </c>
      <c r="M43" t="s">
        <v>364</v>
      </c>
      <c r="N43">
        <v>620133250</v>
      </c>
      <c r="O43" s="5"/>
      <c r="P43" s="5"/>
      <c r="Q43" s="5"/>
      <c r="R43" s="5"/>
      <c r="S43" s="5"/>
      <c r="T43" s="5"/>
      <c r="U43" s="5"/>
      <c r="V43" s="5"/>
    </row>
    <row r="44" spans="1:22" x14ac:dyDescent="0.25">
      <c r="A44">
        <f t="shared" si="0"/>
        <v>41</v>
      </c>
      <c r="B44" s="5" t="s">
        <v>27</v>
      </c>
      <c r="C44" s="5" t="s">
        <v>136</v>
      </c>
      <c r="D44" s="8" t="str">
        <f>IFERROR(HYPERLINK(_xlfn.XLOOKUP(C44,'[1]CTR PUB MAN'!$BC$2:$BC$500,'[1]CTR PUB MAN'!$D$2:$D$500),_xlfn.XLOOKUP(C44,'[1]CTR PUB MAN'!$BC$2:$BC$500,'[1]CTR PUB MAN'!$D$2:$D$500)),"")</f>
        <v/>
      </c>
      <c r="E44" s="5" t="str">
        <f>_xlfn.XLOOKUP(C44,[2]Classes!$A$2:$A$500,[2]Classes!$D$2:$D$500)</f>
        <v>ASSOCIATION DES ENTREPRISES DES ZONES INDUSTRIELLES MAGZI DE DOUALA-EZIMAD</v>
      </c>
      <c r="F44" s="5" t="str">
        <f>_xlfn.XLOOKUP(C44,[2]Classes!$A$2:$A$500,[2]Classes!$C$2:$C$500)</f>
        <v>FIRE ENGINEERING CONSULTINGS (FECS) Sarl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x14ac:dyDescent="0.25">
      <c r="A45">
        <f t="shared" si="0"/>
        <v>42</v>
      </c>
      <c r="B45" s="5" t="s">
        <v>27</v>
      </c>
      <c r="C45" s="5" t="s">
        <v>137</v>
      </c>
      <c r="D45" s="8" t="str">
        <f>IFERROR(HYPERLINK(_xlfn.XLOOKUP(C45,'[1]CTR PUB MAN'!$BC$2:$BC$500,'[1]CTR PUB MAN'!$D$2:$D$500),_xlfn.XLOOKUP(C45,'[1]CTR PUB MAN'!$BC$2:$BC$500,'[1]CTR PUB MAN'!$D$2:$D$500)),"")</f>
        <v/>
      </c>
      <c r="E45" s="5" t="str">
        <f>_xlfn.XLOOKUP(C45,[2]Classes!$A$2:$A$500,[2]Classes!$D$2:$D$500)</f>
        <v>ASSOCIATION DES ENTREPRISES DES ZONES INDUSTRIELLES MAGZI DE DOUALA-EZIMAD</v>
      </c>
      <c r="F45" s="5" t="str">
        <f>_xlfn.XLOOKUP(C45,[2]Classes!$A$2:$A$500,[2]Classes!$C$2:$C$500)</f>
        <v>FIRE ENGINEERING CONSULTINGS (FECS) Sarl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x14ac:dyDescent="0.25">
      <c r="A46">
        <f t="shared" si="0"/>
        <v>43</v>
      </c>
      <c r="B46" s="5" t="s">
        <v>27</v>
      </c>
      <c r="C46" s="5" t="s">
        <v>138</v>
      </c>
      <c r="D46" s="8" t="str">
        <f>IFERROR(HYPERLINK(_xlfn.XLOOKUP(C46,'[1]CTR PUB MAN'!$BC$2:$BC$500,'[1]CTR PUB MAN'!$D$2:$D$500),_xlfn.XLOOKUP(C46,'[1]CTR PUB MAN'!$BC$2:$BC$500,'[1]CTR PUB MAN'!$D$2:$D$500)),"")</f>
        <v>https://is.gd/LB51CQb</v>
      </c>
      <c r="E46" s="5" t="str">
        <f>_xlfn.XLOOKUP(C46,[2]Classes!$A$2:$A$500,[2]Classes!$D$2:$D$500)</f>
        <v>ASSOCIATION DES ENTREPRISES DES ZONES INDUSTRIELLES MAGZI DE DOUALA-EZIMAD</v>
      </c>
      <c r="F46" s="5" t="str">
        <f>_xlfn.XLOOKUP(C46,[2]Classes!$A$2:$A$500,[2]Classes!$C$2:$C$500)</f>
        <v>FIRE ENGINEERING CONSULTINGS (FECS) Sarl</v>
      </c>
      <c r="G46" s="5"/>
      <c r="H46" s="5"/>
      <c r="I46" s="5"/>
      <c r="J46" s="5"/>
      <c r="K46" t="s">
        <v>365</v>
      </c>
      <c r="L46">
        <v>696589180</v>
      </c>
      <c r="M46" t="s">
        <v>366</v>
      </c>
      <c r="N46">
        <v>674617459</v>
      </c>
      <c r="O46" t="s">
        <v>367</v>
      </c>
      <c r="P46">
        <v>696870220</v>
      </c>
      <c r="Q46" s="5"/>
      <c r="R46" s="5"/>
      <c r="S46" s="5"/>
      <c r="T46" s="5"/>
      <c r="U46" s="5"/>
      <c r="V46" s="5"/>
    </row>
    <row r="47" spans="1:22" x14ac:dyDescent="0.25">
      <c r="A47">
        <f t="shared" si="0"/>
        <v>44</v>
      </c>
      <c r="B47" s="5" t="s">
        <v>27</v>
      </c>
      <c r="C47" s="5" t="s">
        <v>139</v>
      </c>
      <c r="D47" s="8" t="str">
        <f>IFERROR(HYPERLINK(_xlfn.XLOOKUP(C47,'[1]CTR PUB MAN'!$BC$2:$BC$500,'[1]CTR PUB MAN'!$D$2:$D$500),_xlfn.XLOOKUP(C47,'[1]CTR PUB MAN'!$BC$2:$BC$500,'[1]CTR PUB MAN'!$D$2:$D$500)),"")</f>
        <v/>
      </c>
      <c r="E47" s="5" t="str">
        <f>_xlfn.XLOOKUP(C47,[2]Classes!$A$2:$A$500,[2]Classes!$D$2:$D$500)</f>
        <v>ASSOCIATION DES ENTREPRISES DES ZONES INDUSTRIELLES MAGZI DE DOUALA-EZIMAD</v>
      </c>
      <c r="F47" s="5" t="str">
        <f>_xlfn.XLOOKUP(C47,[2]Classes!$A$2:$A$500,[2]Classes!$C$2:$C$500)</f>
        <v>FIRE ENGINEERING CONSULTINGS (FECS) Sarl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x14ac:dyDescent="0.25">
      <c r="A48">
        <f t="shared" si="0"/>
        <v>45</v>
      </c>
      <c r="B48" s="5" t="s">
        <v>27</v>
      </c>
      <c r="C48" s="5" t="s">
        <v>140</v>
      </c>
      <c r="D48" s="8" t="str">
        <f>IFERROR(HYPERLINK(_xlfn.XLOOKUP(C48,'[1]CTR PUB MAN'!$BC$2:$BC$500,'[1]CTR PUB MAN'!$D$2:$D$500),_xlfn.XLOOKUP(C48,'[1]CTR PUB MAN'!$BC$2:$BC$500,'[1]CTR PUB MAN'!$D$2:$D$500)),"")</f>
        <v/>
      </c>
      <c r="E48" s="5" t="str">
        <f>_xlfn.XLOOKUP(C48,[2]Classes!$A$2:$A$500,[2]Classes!$D$2:$D$500)</f>
        <v>ASSOCIATION DES ENTREPRISES DES ZONES INDUSTRIELLES MAGZI DE DOUALA-EZIMAD</v>
      </c>
      <c r="F48" s="5" t="str">
        <f>_xlfn.XLOOKUP(C48,[2]Classes!$A$2:$A$500,[2]Classes!$C$2:$C$500)</f>
        <v>FIRE ENGINEERING CONSULTINGS (FECS) Sarl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22" x14ac:dyDescent="0.25">
      <c r="A49">
        <f t="shared" si="0"/>
        <v>46</v>
      </c>
      <c r="B49" s="5" t="s">
        <v>27</v>
      </c>
      <c r="C49" s="5" t="s">
        <v>141</v>
      </c>
      <c r="D49" s="8" t="str">
        <f>IFERROR(HYPERLINK(_xlfn.XLOOKUP(C49,'[1]CTR PUB MAN'!$BC$2:$BC$500,'[1]CTR PUB MAN'!$D$2:$D$500),_xlfn.XLOOKUP(C49,'[1]CTR PUB MAN'!$BC$2:$BC$500,'[1]CTR PUB MAN'!$D$2:$D$500)),"")</f>
        <v/>
      </c>
      <c r="E49" s="5" t="str">
        <f>_xlfn.XLOOKUP(C49,[2]Classes!$A$2:$A$500,[2]Classes!$D$2:$D$500)</f>
        <v>ASSOCIATION DES ENTREPRISES DES ZONES INDUSTRIELLES MAGZI DE DOUALA-EZIMAD</v>
      </c>
      <c r="F49" s="5" t="str">
        <f>_xlfn.XLOOKUP(C49,[2]Classes!$A$2:$A$500,[2]Classes!$C$2:$C$500)</f>
        <v>FIRE ENGINEERING CONSULTINGS (FECS) Sarl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1:22" x14ac:dyDescent="0.25">
      <c r="A50">
        <f t="shared" si="0"/>
        <v>47</v>
      </c>
      <c r="B50" s="5" t="s">
        <v>27</v>
      </c>
      <c r="C50" s="5" t="s">
        <v>142</v>
      </c>
      <c r="D50" s="8" t="str">
        <f>IFERROR(HYPERLINK(_xlfn.XLOOKUP(C50,'[1]CTR PUB MAN'!$BC$2:$BC$500,'[1]CTR PUB MAN'!$D$2:$D$500),_xlfn.XLOOKUP(C50,'[1]CTR PUB MAN'!$BC$2:$BC$500,'[1]CTR PUB MAN'!$D$2:$D$500)),"")</f>
        <v>https://is.gd/6GdH7K</v>
      </c>
      <c r="E50" s="5" t="str">
        <f>_xlfn.XLOOKUP(C50,[2]Classes!$A$2:$A$500,[2]Classes!$D$2:$D$500)</f>
        <v>ASSOCIATION DES ENTREPRISES DES ZONES INDUSTRIELLES MAGZI DE DOUALA-EZIMAD</v>
      </c>
      <c r="F50" s="5" t="str">
        <f>_xlfn.XLOOKUP(C50,[2]Classes!$A$2:$A$500,[2]Classes!$C$2:$C$500)</f>
        <v>FIRE ENGINEERING CONSULTINGS (FECS) Sarl</v>
      </c>
      <c r="G50" s="5"/>
      <c r="H50" s="5"/>
      <c r="I50" s="5"/>
      <c r="J50" s="5"/>
      <c r="K50" t="s">
        <v>368</v>
      </c>
      <c r="L50">
        <v>696870220</v>
      </c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 x14ac:dyDescent="0.25">
      <c r="A51">
        <f t="shared" si="0"/>
        <v>48</v>
      </c>
      <c r="B51" s="5" t="s">
        <v>27</v>
      </c>
      <c r="C51" s="5" t="s">
        <v>143</v>
      </c>
      <c r="D51" s="8" t="str">
        <f>IFERROR(HYPERLINK(_xlfn.XLOOKUP(C51,'[1]CTR PUB MAN'!$BC$2:$BC$500,'[1]CTR PUB MAN'!$D$2:$D$500),_xlfn.XLOOKUP(C51,'[1]CTR PUB MAN'!$BC$2:$BC$500,'[1]CTR PUB MAN'!$D$2:$D$500)),"")</f>
        <v/>
      </c>
      <c r="E51" s="5" t="str">
        <f>_xlfn.XLOOKUP(C51,[2]Classes!$A$2:$A$500,[2]Classes!$D$2:$D$500)</f>
        <v>ASSOCIATION DES ENTREPRISES DES ZONES INDUSTRIELLES MAGZI DE DOUALA-EZIMAD</v>
      </c>
      <c r="F51" s="5" t="str">
        <f>_xlfn.XLOOKUP(C51,[2]Classes!$A$2:$A$500,[2]Classes!$C$2:$C$500)</f>
        <v>FIRE ENGINEERING CONSULTINGS (FECS) Sarl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 x14ac:dyDescent="0.25">
      <c r="A52">
        <f t="shared" si="0"/>
        <v>49</v>
      </c>
      <c r="B52" s="5" t="s">
        <v>27</v>
      </c>
      <c r="C52" s="5" t="s">
        <v>144</v>
      </c>
      <c r="D52" s="8" t="str">
        <f>IFERROR(HYPERLINK(_xlfn.XLOOKUP(C52,'[1]CTR PUB MAN'!$BC$2:$BC$500,'[1]CTR PUB MAN'!$D$2:$D$500),_xlfn.XLOOKUP(C52,'[1]CTR PUB MAN'!$BC$2:$BC$500,'[1]CTR PUB MAN'!$D$2:$D$500)),"")</f>
        <v/>
      </c>
      <c r="E52" s="5" t="str">
        <f>_xlfn.XLOOKUP(C52,[2]Classes!$A$2:$A$500,[2]Classes!$D$2:$D$500)</f>
        <v>ASSOCIATION DES ENTREPRISES DES ZONES INDUSTRIELLES MAGZI DE DOUALA-EZIMAD</v>
      </c>
      <c r="F52" s="5" t="str">
        <f>_xlfn.XLOOKUP(C52,[2]Classes!$A$2:$A$500,[2]Classes!$C$2:$C$500)</f>
        <v>FIRE ENGINEERING CONSULTINGS (FECS) Sarl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 x14ac:dyDescent="0.25">
      <c r="A53">
        <f t="shared" si="0"/>
        <v>50</v>
      </c>
      <c r="B53" s="5" t="s">
        <v>27</v>
      </c>
      <c r="C53" s="5" t="s">
        <v>145</v>
      </c>
      <c r="D53" s="8" t="str">
        <f>IFERROR(HYPERLINK(_xlfn.XLOOKUP(C53,'[1]CTR PUB MAN'!$BC$2:$BC$500,'[1]CTR PUB MAN'!$D$2:$D$500),_xlfn.XLOOKUP(C53,'[1]CTR PUB MAN'!$BC$2:$BC$500,'[1]CTR PUB MAN'!$D$2:$D$500)),"")</f>
        <v/>
      </c>
      <c r="E53" s="5" t="str">
        <f>_xlfn.XLOOKUP(C53,[2]Classes!$A$2:$A$500,[2]Classes!$D$2:$D$500)</f>
        <v>ASSOCIATION DES ENTREPRISES DES ZONES INDUSTRIELLES MAGZI DE DOUALA-EZIMAD</v>
      </c>
      <c r="F53" s="5" t="str">
        <f>_xlfn.XLOOKUP(C53,[2]Classes!$A$2:$A$500,[2]Classes!$C$2:$C$500)</f>
        <v>FIRE ENGINEERING CONSULTINGS (FECS) Sarl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 x14ac:dyDescent="0.25">
      <c r="A54">
        <f t="shared" si="0"/>
        <v>51</v>
      </c>
      <c r="B54" s="5" t="s">
        <v>27</v>
      </c>
      <c r="C54" s="5" t="s">
        <v>146</v>
      </c>
      <c r="D54" s="8" t="str">
        <f>IFERROR(HYPERLINK(_xlfn.XLOOKUP(C54,'[1]CTR PUB MAN'!$BC$2:$BC$500,'[1]CTR PUB MAN'!$D$2:$D$500),_xlfn.XLOOKUP(C54,'[1]CTR PUB MAN'!$BC$2:$BC$500,'[1]CTR PUB MAN'!$D$2:$D$500)),"")</f>
        <v/>
      </c>
      <c r="E54" s="5" t="str">
        <f>_xlfn.XLOOKUP(C54,[2]Classes!$A$2:$A$500,[2]Classes!$D$2:$D$500)</f>
        <v>ASSOCIATION DES ENTREPRISES DES ZONES INDUSTRIELLES MAGZI DE DOUALA-EZIMAD</v>
      </c>
      <c r="F54" s="5" t="str">
        <f>_xlfn.XLOOKUP(C54,[2]Classes!$A$2:$A$500,[2]Classes!$C$2:$C$500)</f>
        <v>FIRE ENGINEERING CONSULTINGS (FECS) Sarl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 x14ac:dyDescent="0.25">
      <c r="A55">
        <f t="shared" si="0"/>
        <v>52</v>
      </c>
      <c r="B55" s="5" t="s">
        <v>27</v>
      </c>
      <c r="C55" s="5" t="s">
        <v>147</v>
      </c>
      <c r="D55" s="8" t="str">
        <f>IFERROR(HYPERLINK(_xlfn.XLOOKUP(C55,'[1]CTR PUB MAN'!$BC$2:$BC$500,'[1]CTR PUB MAN'!$D$2:$D$500),_xlfn.XLOOKUP(C55,'[1]CTR PUB MAN'!$BC$2:$BC$500,'[1]CTR PUB MAN'!$D$2:$D$500)),"")</f>
        <v/>
      </c>
      <c r="E55" s="5" t="str">
        <f>_xlfn.XLOOKUP(C55,[2]Classes!$A$2:$A$500,[2]Classes!$D$2:$D$500)</f>
        <v>ASSOCIATION DES ENTREPRISES DES ZONES INDUSTRIELLES MAGZI DE DOUALA-EZIMAD</v>
      </c>
      <c r="F55" s="5" t="str">
        <f>_xlfn.XLOOKUP(C55,[2]Classes!$A$2:$A$500,[2]Classes!$C$2:$C$500)</f>
        <v>FIRE ENGINEERING CONSULTINGS (FECS) Sarl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 x14ac:dyDescent="0.25">
      <c r="A56">
        <f t="shared" si="0"/>
        <v>53</v>
      </c>
      <c r="B56" s="5" t="s">
        <v>27</v>
      </c>
      <c r="C56" s="5" t="s">
        <v>148</v>
      </c>
      <c r="D56" s="8" t="str">
        <f>IFERROR(HYPERLINK(_xlfn.XLOOKUP(C56,'[1]CTR PUB MAN'!$BC$2:$BC$500,'[1]CTR PUB MAN'!$D$2:$D$500),_xlfn.XLOOKUP(C56,'[1]CTR PUB MAN'!$BC$2:$BC$500,'[1]CTR PUB MAN'!$D$2:$D$500)),"")</f>
        <v/>
      </c>
      <c r="E56" s="5" t="str">
        <f>_xlfn.XLOOKUP(C56,[2]Classes!$A$2:$A$500,[2]Classes!$D$2:$D$500)</f>
        <v>ASSOCIATION DES ENTREPRISES DES ZONES INDUSTRIELLES MAGZI DE DOUALA-EZIMAD</v>
      </c>
      <c r="F56" s="5" t="str">
        <f>_xlfn.XLOOKUP(C56,[2]Classes!$A$2:$A$500,[2]Classes!$C$2:$C$500)</f>
        <v>FIRE ENGINEERING CONSULTINGS (FECS) Sarl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 x14ac:dyDescent="0.25">
      <c r="A57">
        <f t="shared" si="0"/>
        <v>54</v>
      </c>
      <c r="B57" s="5" t="s">
        <v>27</v>
      </c>
      <c r="C57" s="5" t="s">
        <v>149</v>
      </c>
      <c r="D57" s="8" t="str">
        <f>IFERROR(HYPERLINK(_xlfn.XLOOKUP(C57,'[1]CTR PUB MAN'!$BC$2:$BC$500,'[1]CTR PUB MAN'!$D$2:$D$500),_xlfn.XLOOKUP(C57,'[1]CTR PUB MAN'!$BC$2:$BC$500,'[1]CTR PUB MAN'!$D$2:$D$500)),"")</f>
        <v/>
      </c>
      <c r="E57" s="5" t="str">
        <f>_xlfn.XLOOKUP(C57,[2]Classes!$A$2:$A$500,[2]Classes!$D$2:$D$500)</f>
        <v>ASSOCIATION DES ENTREPRISES DES ZONES INDUSTRIELLES MAGZI DE DOUALA-EZIMAD</v>
      </c>
      <c r="F57" s="5" t="str">
        <f>_xlfn.XLOOKUP(C57,[2]Classes!$A$2:$A$500,[2]Classes!$C$2:$C$500)</f>
        <v>FIRE ENGINEERING CONSULTINGS (FECS) Sarl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 x14ac:dyDescent="0.25">
      <c r="A58">
        <f t="shared" si="0"/>
        <v>55</v>
      </c>
      <c r="B58" s="5" t="s">
        <v>27</v>
      </c>
      <c r="C58" s="5" t="s">
        <v>150</v>
      </c>
      <c r="D58" s="8" t="str">
        <f>IFERROR(HYPERLINK(_xlfn.XLOOKUP(C58,'[1]CTR PUB MAN'!$BC$2:$BC$500,'[1]CTR PUB MAN'!$D$2:$D$500),_xlfn.XLOOKUP(C58,'[1]CTR PUB MAN'!$BC$2:$BC$500,'[1]CTR PUB MAN'!$D$2:$D$500)),"")</f>
        <v/>
      </c>
      <c r="E58" s="5" t="str">
        <f>_xlfn.XLOOKUP(C58,[2]Classes!$A$2:$A$500,[2]Classes!$D$2:$D$500)</f>
        <v>ASSOCIATION DES ENTREPRISES DES ZONES INDUSTRIELLES MAGZI DE DOUALA-EZIMAD</v>
      </c>
      <c r="F58" s="5" t="str">
        <f>_xlfn.XLOOKUP(C58,[2]Classes!$A$2:$A$500,[2]Classes!$C$2:$C$500)</f>
        <v>FIRE ENGINEERING CONSULTINGS (FECS) Sarl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 x14ac:dyDescent="0.25">
      <c r="A59">
        <f t="shared" si="0"/>
        <v>56</v>
      </c>
      <c r="B59" s="5" t="s">
        <v>28</v>
      </c>
      <c r="C59" s="5" t="s">
        <v>151</v>
      </c>
      <c r="D59" s="8" t="str">
        <f>IFERROR(HYPERLINK(_xlfn.XLOOKUP(C59,'[1]CTR PUB MAN'!$BC$2:$BC$500,'[1]CTR PUB MAN'!$D$2:$D$500),_xlfn.XLOOKUP(C59,'[1]CTR PUB MAN'!$BC$2:$BC$500,'[1]CTR PUB MAN'!$D$2:$D$500)),"")</f>
        <v>https://is.gd/65SjIb</v>
      </c>
      <c r="E59" s="5" t="str">
        <f>_xlfn.XLOOKUP(C59,[2]Classes!$A$2:$A$500,[2]Classes!$D$2:$D$500)</f>
        <v>SCOOP-CA ONGOLA</v>
      </c>
      <c r="F59" s="5" t="str">
        <f>_xlfn.XLOOKUP(C59,[2]Classes!$A$2:$A$500,[2]Classes!$C$2:$C$500)</f>
        <v>IFPECIS-CAM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5">
      <c r="A60">
        <f t="shared" si="0"/>
        <v>57</v>
      </c>
      <c r="B60" s="5" t="s">
        <v>28</v>
      </c>
      <c r="C60" s="5" t="s">
        <v>152</v>
      </c>
      <c r="D60" s="8" t="str">
        <f>IFERROR(HYPERLINK(_xlfn.XLOOKUP(C60,'[1]CTR PUB MAN'!$BC$2:$BC$500,'[1]CTR PUB MAN'!$D$2:$D$500),_xlfn.XLOOKUP(C60,'[1]CTR PUB MAN'!$BC$2:$BC$500,'[1]CTR PUB MAN'!$D$2:$D$500)),"")</f>
        <v/>
      </c>
      <c r="E60" s="5" t="str">
        <f>_xlfn.XLOOKUP(C60,[2]Classes!$A$2:$A$500,[2]Classes!$D$2:$D$500)</f>
        <v>SCOOP-CA ONGOLA</v>
      </c>
      <c r="F60" s="5" t="str">
        <f>_xlfn.XLOOKUP(C60,[2]Classes!$A$2:$A$500,[2]Classes!$C$2:$C$500)</f>
        <v>IFPECIS-CAM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x14ac:dyDescent="0.25">
      <c r="A61">
        <f t="shared" si="0"/>
        <v>58</v>
      </c>
      <c r="B61" s="5" t="s">
        <v>29</v>
      </c>
      <c r="C61" s="5" t="s">
        <v>153</v>
      </c>
      <c r="D61" s="8" t="str">
        <f>IFERROR(HYPERLINK(_xlfn.XLOOKUP(C61,'[1]CTR PUB MAN'!$BC$2:$BC$500,'[1]CTR PUB MAN'!$D$2:$D$500),_xlfn.XLOOKUP(C61,'[1]CTR PUB MAN'!$BC$2:$BC$500,'[1]CTR PUB MAN'!$D$2:$D$500)),"")</f>
        <v>https://is.gd/xKx6Oh</v>
      </c>
      <c r="E61" s="5" t="str">
        <f>_xlfn.XLOOKUP(C61,[2]Classes!$A$2:$A$500,[2]Classes!$D$2:$D$500)</f>
        <v>GIC DES FEMMES DYNAMIQUES DE BIYEYEM</v>
      </c>
      <c r="F61" s="5" t="str">
        <f>_xlfn.XLOOKUP(C61,[2]Classes!$A$2:$A$500,[2]Classes!$C$2:$C$500)</f>
        <v>CRA D'EBOLOWA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 x14ac:dyDescent="0.25">
      <c r="A62">
        <f t="shared" si="0"/>
        <v>59</v>
      </c>
      <c r="B62" s="5" t="s">
        <v>30</v>
      </c>
      <c r="C62" s="5" t="s">
        <v>154</v>
      </c>
      <c r="D62" s="8" t="str">
        <f>IFERROR(HYPERLINK(_xlfn.XLOOKUP(C62,'[1]CTR PUB MAN'!$BC$2:$BC$500,'[1]CTR PUB MAN'!$D$2:$D$500),_xlfn.XLOOKUP(C62,'[1]CTR PUB MAN'!$BC$2:$BC$500,'[1]CTR PUB MAN'!$D$2:$D$500)),"")</f>
        <v>https://is.gd/UndQQK</v>
      </c>
      <c r="E62" s="5" t="str">
        <f>_xlfn.XLOOKUP(C62,[2]Classes!$A$2:$A$500,[2]Classes!$D$2:$D$500)</f>
        <v>ELENA NGO</v>
      </c>
      <c r="F62" s="5" t="str">
        <f>_xlfn.XLOOKUP(C62,[2]Classes!$A$2:$A$500,[2]Classes!$C$2:$C$500)</f>
        <v>AQUACULTURE STATION AND TRAINING CENTER, BAROMBI-KANG, KUMBA (SA KUMBA)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 x14ac:dyDescent="0.25">
      <c r="A63">
        <f t="shared" si="0"/>
        <v>60</v>
      </c>
      <c r="B63" s="5" t="s">
        <v>30</v>
      </c>
      <c r="C63" s="5" t="s">
        <v>155</v>
      </c>
      <c r="D63" s="8" t="str">
        <f>IFERROR(HYPERLINK(_xlfn.XLOOKUP(C63,'[1]CTR PUB MAN'!$BC$2:$BC$500,'[1]CTR PUB MAN'!$D$2:$D$500),_xlfn.XLOOKUP(C63,'[1]CTR PUB MAN'!$BC$2:$BC$500,'[1]CTR PUB MAN'!$D$2:$D$500)),"")</f>
        <v>https://is.gd/PsTz9U</v>
      </c>
      <c r="E63" s="5" t="str">
        <f>_xlfn.XLOOKUP(C63,[2]Classes!$A$2:$A$500,[2]Classes!$D$2:$D$500)</f>
        <v>ELENA NGO</v>
      </c>
      <c r="F63" s="5" t="str">
        <f>_xlfn.XLOOKUP(C63,[2]Classes!$A$2:$A$500,[2]Classes!$C$2:$C$500)</f>
        <v>AQUACULTURE STATION AND TRAINING CENTER, BAROMBI-KANG, KUMBA (SA KUMBA)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 x14ac:dyDescent="0.25">
      <c r="A64">
        <f t="shared" si="0"/>
        <v>61</v>
      </c>
      <c r="B64" s="5" t="s">
        <v>31</v>
      </c>
      <c r="C64" s="5" t="s">
        <v>156</v>
      </c>
      <c r="D64" s="8" t="str">
        <f>IFERROR(HYPERLINK(_xlfn.XLOOKUP(C64,'[1]CTR PUB MAN'!$BC$2:$BC$500,'[1]CTR PUB MAN'!$D$2:$D$500),_xlfn.XLOOKUP(C64,'[1]CTR PUB MAN'!$BC$2:$BC$500,'[1]CTR PUB MAN'!$D$2:$D$500)),"")</f>
        <v/>
      </c>
      <c r="E64" s="5" t="str">
        <f>_xlfn.XLOOKUP(C64,[2]Classes!$A$2:$A$500,[2]Classes!$D$2:$D$500)</f>
        <v>RESEAU DES ENTREPRENEURS ET PROMOTEURS AGROPASTORAUX JEUNES (REPA-JEUNE)</v>
      </c>
      <c r="F64" s="5" t="str">
        <f>_xlfn.XLOOKUP(C64,[2]Classes!$A$2:$A$500,[2]Classes!$C$2:$C$500)</f>
        <v>CODEA-IAO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 x14ac:dyDescent="0.25">
      <c r="A65">
        <f t="shared" si="0"/>
        <v>62</v>
      </c>
      <c r="B65" s="5" t="s">
        <v>32</v>
      </c>
      <c r="C65" s="5" t="s">
        <v>157</v>
      </c>
      <c r="D65" s="8" t="str">
        <f>IFERROR(HYPERLINK(_xlfn.XLOOKUP(C65,'[1]CTR PUB MAN'!$BC$2:$BC$500,'[1]CTR PUB MAN'!$D$2:$D$500),_xlfn.XLOOKUP(C65,'[1]CTR PUB MAN'!$BC$2:$BC$500,'[1]CTR PUB MAN'!$D$2:$D$500)),"")</f>
        <v>https://is.gd/yhDKGL</v>
      </c>
      <c r="E65" s="5" t="str">
        <f>_xlfn.XLOOKUP(C65,[2]Classes!$A$2:$A$500,[2]Classes!$D$2:$D$500)</f>
        <v>GIC GREEN FARM</v>
      </c>
      <c r="F65" s="5" t="str">
        <f>_xlfn.XLOOKUP(C65,[2]Classes!$A$2:$A$500,[2]Classes!$C$2:$C$500)</f>
        <v>CODEA-IAO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 x14ac:dyDescent="0.25">
      <c r="A66">
        <f t="shared" si="0"/>
        <v>63</v>
      </c>
      <c r="B66" s="5" t="s">
        <v>32</v>
      </c>
      <c r="C66" s="5" t="s">
        <v>158</v>
      </c>
      <c r="D66" s="8" t="str">
        <f>IFERROR(HYPERLINK(_xlfn.XLOOKUP(C66,'[1]CTR PUB MAN'!$BC$2:$BC$500,'[1]CTR PUB MAN'!$D$2:$D$500),_xlfn.XLOOKUP(C66,'[1]CTR PUB MAN'!$BC$2:$BC$500,'[1]CTR PUB MAN'!$D$2:$D$500)),"")</f>
        <v>https://is.gd/XiYLml</v>
      </c>
      <c r="E66" s="5" t="str">
        <f>_xlfn.XLOOKUP(C66,[2]Classes!$A$2:$A$500,[2]Classes!$D$2:$D$500)</f>
        <v>GIC GREEN FARM</v>
      </c>
      <c r="F66" s="5" t="str">
        <f>_xlfn.XLOOKUP(C66,[2]Classes!$A$2:$A$500,[2]Classes!$C$2:$C$500)</f>
        <v>CODEA-IAO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 x14ac:dyDescent="0.25">
      <c r="A67">
        <f t="shared" si="0"/>
        <v>64</v>
      </c>
      <c r="B67" s="5" t="s">
        <v>33</v>
      </c>
      <c r="C67" s="5" t="s">
        <v>159</v>
      </c>
      <c r="D67" s="8" t="str">
        <f>IFERROR(HYPERLINK(_xlfn.XLOOKUP(C67,'[1]CTR PUB MAN'!$BC$2:$BC$500,'[1]CTR PUB MAN'!$D$2:$D$500),_xlfn.XLOOKUP(C67,'[1]CTR PUB MAN'!$BC$2:$BC$500,'[1]CTR PUB MAN'!$D$2:$D$500)),"")</f>
        <v>https://is.gd/IqPmP7</v>
      </c>
      <c r="E67" s="5" t="str">
        <f>_xlfn.XLOOKUP(C67,[2]Classes!$A$2:$A$500,[2]Classes!$D$2:$D$500)</f>
        <v>NPUNDU COOPERATIVE PRODUCE MARKETING SOCIETY (CPMS COOP) LTD</v>
      </c>
      <c r="F67" s="5" t="str">
        <f>_xlfn.XLOOKUP(C67,[2]Classes!$A$2:$A$500,[2]Classes!$C$2:$C$500)</f>
        <v>AQUACULTURE STATION AND TRAINING CENTER, BAROMBI-KANG, KUMBA (SA KUMBA)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spans="1:22" x14ac:dyDescent="0.25">
      <c r="A68">
        <f t="shared" si="0"/>
        <v>65</v>
      </c>
      <c r="B68" s="5" t="s">
        <v>33</v>
      </c>
      <c r="C68" s="5" t="s">
        <v>160</v>
      </c>
      <c r="D68" s="8" t="str">
        <f>IFERROR(HYPERLINK(_xlfn.XLOOKUP(C68,'[1]CTR PUB MAN'!$BC$2:$BC$500,'[1]CTR PUB MAN'!$D$2:$D$500),_xlfn.XLOOKUP(C68,'[1]CTR PUB MAN'!$BC$2:$BC$500,'[1]CTR PUB MAN'!$D$2:$D$500)),"")</f>
        <v>https://is.gd/WFaKtM</v>
      </c>
      <c r="E68" s="5" t="str">
        <f>_xlfn.XLOOKUP(C68,[2]Classes!$A$2:$A$500,[2]Classes!$D$2:$D$500)</f>
        <v>NPUNDU COOPERATIVE PRODUCE MARKETING SOCIETY (CPMS COOP) LTD</v>
      </c>
      <c r="F68" s="5" t="str">
        <f>_xlfn.XLOOKUP(C68,[2]Classes!$A$2:$A$500,[2]Classes!$C$2:$C$500)</f>
        <v>AQUACULTURE STATION AND TRAINING CENTER, BAROMBI-KANG, KUMBA (SA KUMBA)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spans="1:22" x14ac:dyDescent="0.25">
      <c r="A69">
        <f t="shared" si="0"/>
        <v>66</v>
      </c>
      <c r="B69" s="5" t="s">
        <v>34</v>
      </c>
      <c r="C69" s="5" t="s">
        <v>161</v>
      </c>
      <c r="D69" s="8" t="str">
        <f>IFERROR(HYPERLINK(_xlfn.XLOOKUP(C69,'[1]CTR PUB MAN'!$BC$2:$BC$500,'[1]CTR PUB MAN'!$D$2:$D$500),_xlfn.XLOOKUP(C69,'[1]CTR PUB MAN'!$BC$2:$BC$500,'[1]CTR PUB MAN'!$D$2:$D$500)),"")</f>
        <v/>
      </c>
      <c r="E69" s="5" t="str">
        <f>_xlfn.XLOOKUP(C69,[2]Classes!$A$2:$A$500,[2]Classes!$D$2:$D$500)</f>
        <v>PLATEFORME INTER PROFESSIONNELLE DE LA CHAÎNE DE VALEUR MANIOC (PIP-CV-MANIOC)</v>
      </c>
      <c r="F69" s="5" t="str">
        <f>_xlfn.XLOOKUP(C69,[2]Classes!$A$2:$A$500,[2]Classes!$C$2:$C$500)</f>
        <v>PROFALCAM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spans="1:22" x14ac:dyDescent="0.25">
      <c r="A70">
        <f t="shared" ref="A70:A133" si="1">1+A69</f>
        <v>67</v>
      </c>
      <c r="B70" s="5" t="s">
        <v>34</v>
      </c>
      <c r="C70" s="5" t="s">
        <v>162</v>
      </c>
      <c r="D70" s="8" t="str">
        <f>IFERROR(HYPERLINK(_xlfn.XLOOKUP(C70,'[1]CTR PUB MAN'!$BC$2:$BC$500,'[1]CTR PUB MAN'!$D$2:$D$500),_xlfn.XLOOKUP(C70,'[1]CTR PUB MAN'!$BC$2:$BC$500,'[1]CTR PUB MAN'!$D$2:$D$500)),"")</f>
        <v/>
      </c>
      <c r="E70" s="5" t="str">
        <f>_xlfn.XLOOKUP(C70,[2]Classes!$A$2:$A$500,[2]Classes!$D$2:$D$500)</f>
        <v>PLATEFORME INTER PROFESSIONNELLE DE LA CHAÎNE DE VALEUR MANIOC (PIP-CV-MANIOC)</v>
      </c>
      <c r="F70" s="5" t="str">
        <f>_xlfn.XLOOKUP(C70,[2]Classes!$A$2:$A$500,[2]Classes!$C$2:$C$500)</f>
        <v>PROFALCAM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spans="1:22" x14ac:dyDescent="0.25">
      <c r="A71">
        <f t="shared" si="1"/>
        <v>68</v>
      </c>
      <c r="B71" s="5" t="s">
        <v>34</v>
      </c>
      <c r="C71" s="5" t="s">
        <v>163</v>
      </c>
      <c r="D71" s="8" t="str">
        <f>IFERROR(HYPERLINK(_xlfn.XLOOKUP(C71,'[1]CTR PUB MAN'!$BC$2:$BC$500,'[1]CTR PUB MAN'!$D$2:$D$500),_xlfn.XLOOKUP(C71,'[1]CTR PUB MAN'!$BC$2:$BC$500,'[1]CTR PUB MAN'!$D$2:$D$500)),"")</f>
        <v/>
      </c>
      <c r="E71" s="5" t="str">
        <f>_xlfn.XLOOKUP(C71,[2]Classes!$A$2:$A$500,[2]Classes!$D$2:$D$500)</f>
        <v>PLATEFORME INTER PROFESSIONNELLE DE LA CHAÎNE DE VALEUR MANIOC (PIP-CV-MANIOC)</v>
      </c>
      <c r="F71" s="5" t="str">
        <f>_xlfn.XLOOKUP(C71,[2]Classes!$A$2:$A$500,[2]Classes!$C$2:$C$500)</f>
        <v>PROFALCAM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spans="1:22" x14ac:dyDescent="0.25">
      <c r="A72">
        <f t="shared" si="1"/>
        <v>69</v>
      </c>
      <c r="B72" s="5" t="s">
        <v>34</v>
      </c>
      <c r="C72" s="5" t="s">
        <v>164</v>
      </c>
      <c r="D72" s="8" t="str">
        <f>IFERROR(HYPERLINK(_xlfn.XLOOKUP(C72,'[1]CTR PUB MAN'!$BC$2:$BC$500,'[1]CTR PUB MAN'!$D$2:$D$500),_xlfn.XLOOKUP(C72,'[1]CTR PUB MAN'!$BC$2:$BC$500,'[1]CTR PUB MAN'!$D$2:$D$500)),"")</f>
        <v/>
      </c>
      <c r="E72" s="5" t="str">
        <f>_xlfn.XLOOKUP(C72,[2]Classes!$A$2:$A$500,[2]Classes!$D$2:$D$500)</f>
        <v>PLATEFORME INTER PROFESSIONNELLE DE LA CHAÎNE DE VALEUR MANIOC (PIP-CV-MANIOC)</v>
      </c>
      <c r="F72" s="5" t="str">
        <f>_xlfn.XLOOKUP(C72,[2]Classes!$A$2:$A$500,[2]Classes!$C$2:$C$500)</f>
        <v>PROFALCAM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spans="1:22" x14ac:dyDescent="0.25">
      <c r="A73">
        <f t="shared" si="1"/>
        <v>70</v>
      </c>
      <c r="B73" s="5" t="s">
        <v>34</v>
      </c>
      <c r="C73" s="5" t="s">
        <v>165</v>
      </c>
      <c r="D73" s="8" t="str">
        <f>IFERROR(HYPERLINK(_xlfn.XLOOKUP(C73,'[1]CTR PUB MAN'!$BC$2:$BC$500,'[1]CTR PUB MAN'!$D$2:$D$500),_xlfn.XLOOKUP(C73,'[1]CTR PUB MAN'!$BC$2:$BC$500,'[1]CTR PUB MAN'!$D$2:$D$500)),"")</f>
        <v/>
      </c>
      <c r="E73" s="5" t="str">
        <f>_xlfn.XLOOKUP(C73,[2]Classes!$A$2:$A$500,[2]Classes!$D$2:$D$500)</f>
        <v>PLATEFORME INTER PROFESSIONNELLE DE LA CHAÎNE DE VALEUR MANIOC (PIP-CV-MANIOC)</v>
      </c>
      <c r="F73" s="5" t="str">
        <f>_xlfn.XLOOKUP(C73,[2]Classes!$A$2:$A$500,[2]Classes!$C$2:$C$500)</f>
        <v>PROFALCAM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spans="1:22" x14ac:dyDescent="0.25">
      <c r="A74">
        <f t="shared" si="1"/>
        <v>71</v>
      </c>
      <c r="B74" s="5" t="s">
        <v>34</v>
      </c>
      <c r="C74" s="5" t="s">
        <v>166</v>
      </c>
      <c r="D74" s="8" t="str">
        <f>IFERROR(HYPERLINK(_xlfn.XLOOKUP(C74,'[1]CTR PUB MAN'!$BC$2:$BC$500,'[1]CTR PUB MAN'!$D$2:$D$500),_xlfn.XLOOKUP(C74,'[1]CTR PUB MAN'!$BC$2:$BC$500,'[1]CTR PUB MAN'!$D$2:$D$500)),"")</f>
        <v/>
      </c>
      <c r="E74" s="5" t="str">
        <f>_xlfn.XLOOKUP(C74,[2]Classes!$A$2:$A$500,[2]Classes!$D$2:$D$500)</f>
        <v>PLATEFORME INTER PROFESSIONNELLE DE LA CHAÎNE DE VALEUR MANIOC (PIP-CV-MANIOC)</v>
      </c>
      <c r="F74" s="5" t="str">
        <f>_xlfn.XLOOKUP(C74,[2]Classes!$A$2:$A$500,[2]Classes!$C$2:$C$500)</f>
        <v>PROFALCAM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5">
      <c r="A75">
        <f t="shared" si="1"/>
        <v>72</v>
      </c>
      <c r="B75" s="5" t="s">
        <v>34</v>
      </c>
      <c r="C75" s="5" t="s">
        <v>167</v>
      </c>
      <c r="D75" s="8" t="str">
        <f>IFERROR(HYPERLINK(_xlfn.XLOOKUP(C75,'[1]CTR PUB MAN'!$BC$2:$BC$500,'[1]CTR PUB MAN'!$D$2:$D$500),_xlfn.XLOOKUP(C75,'[1]CTR PUB MAN'!$BC$2:$BC$500,'[1]CTR PUB MAN'!$D$2:$D$500)),"")</f>
        <v/>
      </c>
      <c r="E75" s="5" t="str">
        <f>_xlfn.XLOOKUP(C75,[2]Classes!$A$2:$A$500,[2]Classes!$D$2:$D$500)</f>
        <v>PLATEFORME INTER PROFESSIONNELLE DE LA CHAÎNE DE VALEUR MANIOC (PIP-CV-MANIOC)</v>
      </c>
      <c r="F75" s="5" t="str">
        <f>_xlfn.XLOOKUP(C75,[2]Classes!$A$2:$A$500,[2]Classes!$C$2:$C$500)</f>
        <v>PROFALCAM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x14ac:dyDescent="0.25">
      <c r="A76">
        <f t="shared" si="1"/>
        <v>73</v>
      </c>
      <c r="B76" s="5" t="s">
        <v>34</v>
      </c>
      <c r="C76" s="5" t="s">
        <v>168</v>
      </c>
      <c r="D76" s="8" t="str">
        <f>IFERROR(HYPERLINK(_xlfn.XLOOKUP(C76,'[1]CTR PUB MAN'!$BC$2:$BC$500,'[1]CTR PUB MAN'!$D$2:$D$500),_xlfn.XLOOKUP(C76,'[1]CTR PUB MAN'!$BC$2:$BC$500,'[1]CTR PUB MAN'!$D$2:$D$500)),"")</f>
        <v/>
      </c>
      <c r="E76" s="5" t="str">
        <f>_xlfn.XLOOKUP(C76,[2]Classes!$A$2:$A$500,[2]Classes!$D$2:$D$500)</f>
        <v>PLATEFORME INTER PROFESSIONNELLE DE LA CHAÎNE DE VALEUR MANIOC (PIP-CV-MANIOC)</v>
      </c>
      <c r="F76" s="5" t="str">
        <f>_xlfn.XLOOKUP(C76,[2]Classes!$A$2:$A$500,[2]Classes!$C$2:$C$500)</f>
        <v>PROFALCAM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spans="1:22" x14ac:dyDescent="0.25">
      <c r="A77">
        <f t="shared" si="1"/>
        <v>74</v>
      </c>
      <c r="B77" s="5" t="s">
        <v>34</v>
      </c>
      <c r="C77" s="5" t="s">
        <v>169</v>
      </c>
      <c r="D77" s="8" t="str">
        <f>IFERROR(HYPERLINK(_xlfn.XLOOKUP(C77,'[1]CTR PUB MAN'!$BC$2:$BC$500,'[1]CTR PUB MAN'!$D$2:$D$500),_xlfn.XLOOKUP(C77,'[1]CTR PUB MAN'!$BC$2:$BC$500,'[1]CTR PUB MAN'!$D$2:$D$500)),"")</f>
        <v/>
      </c>
      <c r="E77" s="5" t="str">
        <f>_xlfn.XLOOKUP(C77,[2]Classes!$A$2:$A$500,[2]Classes!$D$2:$D$500)</f>
        <v>PLATEFORME INTER PROFESSIONNELLE DE LA CHAÎNE DE VALEUR MANIOC (PIP-CV-MANIOC)</v>
      </c>
      <c r="F77" s="5" t="str">
        <f>_xlfn.XLOOKUP(C77,[2]Classes!$A$2:$A$500,[2]Classes!$C$2:$C$500)</f>
        <v>PROFALCAM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spans="1:22" x14ac:dyDescent="0.25">
      <c r="A78">
        <f t="shared" si="1"/>
        <v>75</v>
      </c>
      <c r="B78" s="5" t="s">
        <v>34</v>
      </c>
      <c r="C78" s="5" t="s">
        <v>170</v>
      </c>
      <c r="D78" s="8" t="str">
        <f>IFERROR(HYPERLINK(_xlfn.XLOOKUP(C78,'[1]CTR PUB MAN'!$BC$2:$BC$500,'[1]CTR PUB MAN'!$D$2:$D$500),_xlfn.XLOOKUP(C78,'[1]CTR PUB MAN'!$BC$2:$BC$500,'[1]CTR PUB MAN'!$D$2:$D$500)),"")</f>
        <v/>
      </c>
      <c r="E78" s="5" t="str">
        <f>_xlfn.XLOOKUP(C78,[2]Classes!$A$2:$A$500,[2]Classes!$D$2:$D$500)</f>
        <v>PLATEFORME INTER PROFESSIONNELLE DE LA CHAÎNE DE VALEUR MANIOC (PIP-CV-MANIOC)</v>
      </c>
      <c r="F78" s="5" t="str">
        <f>_xlfn.XLOOKUP(C78,[2]Classes!$A$2:$A$500,[2]Classes!$C$2:$C$500)</f>
        <v>PROFALCAM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spans="1:22" x14ac:dyDescent="0.25">
      <c r="A79">
        <f t="shared" si="1"/>
        <v>76</v>
      </c>
      <c r="B79" s="5" t="s">
        <v>35</v>
      </c>
      <c r="C79" s="5" t="s">
        <v>171</v>
      </c>
      <c r="D79" s="8" t="str">
        <f>IFERROR(HYPERLINK(_xlfn.XLOOKUP(C79,'[1]CTR PUB MAN'!$BC$2:$BC$500,'[1]CTR PUB MAN'!$D$2:$D$500),_xlfn.XLOOKUP(C79,'[1]CTR PUB MAN'!$BC$2:$BC$500,'[1]CTR PUB MAN'!$D$2:$D$500)),"")</f>
        <v/>
      </c>
      <c r="E79" s="5" t="str">
        <f>_xlfn.XLOOKUP(C79,[2]Classes!$A$2:$A$500,[2]Classes!$D$2:$D$500)</f>
        <v>GPIM</v>
      </c>
      <c r="F79" s="5" t="str">
        <f>_xlfn.XLOOKUP(C79,[2]Classes!$A$2:$A$500,[2]Classes!$C$2:$C$500)</f>
        <v>CODEA-IAO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spans="1:22" x14ac:dyDescent="0.25">
      <c r="A80">
        <f t="shared" si="1"/>
        <v>77</v>
      </c>
      <c r="B80" s="5" t="s">
        <v>35</v>
      </c>
      <c r="C80" s="5" t="s">
        <v>172</v>
      </c>
      <c r="D80" s="8" t="str">
        <f>IFERROR(HYPERLINK(_xlfn.XLOOKUP(C80,'[1]CTR PUB MAN'!$BC$2:$BC$500,'[1]CTR PUB MAN'!$D$2:$D$500),_xlfn.XLOOKUP(C80,'[1]CTR PUB MAN'!$BC$2:$BC$500,'[1]CTR PUB MAN'!$D$2:$D$500)),"")</f>
        <v>https://is.gd/jFfYj2</v>
      </c>
      <c r="E80" s="5" t="str">
        <f>_xlfn.XLOOKUP(C80,[2]Classes!$A$2:$A$500,[2]Classes!$D$2:$D$500)</f>
        <v>GPIM</v>
      </c>
      <c r="F80" s="5" t="str">
        <f>_xlfn.XLOOKUP(C80,[2]Classes!$A$2:$A$500,[2]Classes!$C$2:$C$500)</f>
        <v>CODEA-IAO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spans="1:22" x14ac:dyDescent="0.25">
      <c r="A81">
        <f t="shared" si="1"/>
        <v>78</v>
      </c>
      <c r="B81" s="5" t="s">
        <v>36</v>
      </c>
      <c r="C81" s="5" t="s">
        <v>173</v>
      </c>
      <c r="D81" s="8" t="str">
        <f>IFERROR(HYPERLINK(_xlfn.XLOOKUP(C81,'[1]CTR PUB MAN'!$BC$2:$BC$500,'[1]CTR PUB MAN'!$D$2:$D$500),_xlfn.XLOOKUP(C81,'[1]CTR PUB MAN'!$BC$2:$BC$500,'[1]CTR PUB MAN'!$D$2:$D$500)),"")</f>
        <v>https://is.gd/eWe0Lu</v>
      </c>
      <c r="E81" s="5" t="str">
        <f>_xlfn.XLOOKUP(C81,[2]Classes!$A$2:$A$500,[2]Classes!$D$2:$D$500)</f>
        <v>ASSOCIATION DES ENTREPRISES DES ZONES INDUSTRIELLES MAGZI DE DOUALA-EZIMAD</v>
      </c>
      <c r="F81" s="5" t="str">
        <f>_xlfn.XLOOKUP(C81,[2]Classes!$A$2:$A$500,[2]Classes!$C$2:$C$500)</f>
        <v>VISION POSITIVE DU DEVELOPPEMENT (VIPOD) SARL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spans="1:22" x14ac:dyDescent="0.25">
      <c r="A82">
        <f t="shared" si="1"/>
        <v>79</v>
      </c>
      <c r="B82" s="5" t="s">
        <v>36</v>
      </c>
      <c r="C82" s="5" t="s">
        <v>174</v>
      </c>
      <c r="D82" s="8" t="str">
        <f>IFERROR(HYPERLINK(_xlfn.XLOOKUP(C82,'[1]CTR PUB MAN'!$BC$2:$BC$500,'[1]CTR PUB MAN'!$D$2:$D$500),_xlfn.XLOOKUP(C82,'[1]CTR PUB MAN'!$BC$2:$BC$500,'[1]CTR PUB MAN'!$D$2:$D$500)),"")</f>
        <v>https://is.gd/EPgngf</v>
      </c>
      <c r="E82" s="5" t="str">
        <f>_xlfn.XLOOKUP(C82,[2]Classes!$A$2:$A$500,[2]Classes!$D$2:$D$500)</f>
        <v>ASSOCIATION DES ENTREPRISES DES ZONES INDUSTRIELLES MAGZI DE DOUALA-EZIMAD</v>
      </c>
      <c r="F82" s="5" t="str">
        <f>_xlfn.XLOOKUP(C82,[2]Classes!$A$2:$A$500,[2]Classes!$C$2:$C$500)</f>
        <v>VISION POSITIVE DU DEVELOPPEMENT (VIPOD) SARL</v>
      </c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spans="1:22" x14ac:dyDescent="0.25">
      <c r="A83">
        <f t="shared" si="1"/>
        <v>80</v>
      </c>
      <c r="B83" s="5" t="s">
        <v>36</v>
      </c>
      <c r="C83" s="5" t="s">
        <v>175</v>
      </c>
      <c r="D83" s="8" t="str">
        <f>IFERROR(HYPERLINK(_xlfn.XLOOKUP(C83,'[1]CTR PUB MAN'!$BC$2:$BC$500,'[1]CTR PUB MAN'!$D$2:$D$500),_xlfn.XLOOKUP(C83,'[1]CTR PUB MAN'!$BC$2:$BC$500,'[1]CTR PUB MAN'!$D$2:$D$500)),"")</f>
        <v/>
      </c>
      <c r="E83" s="5" t="str">
        <f>_xlfn.XLOOKUP(C83,[2]Classes!$A$2:$A$500,[2]Classes!$D$2:$D$500)</f>
        <v>ASSOCIATION DES ENTREPRISES DES ZONES INDUSTRIELLES MAGZI DE DOUALA-EZIMAD</v>
      </c>
      <c r="F83" s="5" t="str">
        <f>_xlfn.XLOOKUP(C83,[2]Classes!$A$2:$A$500,[2]Classes!$C$2:$C$500)</f>
        <v>VISION POSITIVE DU DEVELOPPEMENT (VIPOD) SARL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spans="1:22" x14ac:dyDescent="0.25">
      <c r="A84">
        <f t="shared" si="1"/>
        <v>81</v>
      </c>
      <c r="B84" s="5" t="s">
        <v>36</v>
      </c>
      <c r="C84" s="5" t="s">
        <v>176</v>
      </c>
      <c r="D84" s="8" t="str">
        <f>IFERROR(HYPERLINK(_xlfn.XLOOKUP(C84,'[1]CTR PUB MAN'!$BC$2:$BC$500,'[1]CTR PUB MAN'!$D$2:$D$500),_xlfn.XLOOKUP(C84,'[1]CTR PUB MAN'!$BC$2:$BC$500,'[1]CTR PUB MAN'!$D$2:$D$500)),"")</f>
        <v/>
      </c>
      <c r="E84" s="5" t="str">
        <f>_xlfn.XLOOKUP(C84,[2]Classes!$A$2:$A$500,[2]Classes!$D$2:$D$500)</f>
        <v>ASSOCIATION DES ENTREPRISES DES ZONES INDUSTRIELLES MAGZI DE DOUALA-EZIMAD</v>
      </c>
      <c r="F84" s="5" t="str">
        <f>_xlfn.XLOOKUP(C84,[2]Classes!$A$2:$A$500,[2]Classes!$C$2:$C$500)</f>
        <v>VISION POSITIVE DU DEVELOPPEMENT (VIPOD) SARL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 x14ac:dyDescent="0.25">
      <c r="A85">
        <f t="shared" si="1"/>
        <v>82</v>
      </c>
      <c r="B85" s="5" t="s">
        <v>36</v>
      </c>
      <c r="C85" s="5" t="s">
        <v>177</v>
      </c>
      <c r="D85" s="8" t="str">
        <f>IFERROR(HYPERLINK(_xlfn.XLOOKUP(C85,'[1]CTR PUB MAN'!$BC$2:$BC$500,'[1]CTR PUB MAN'!$D$2:$D$500),_xlfn.XLOOKUP(C85,'[1]CTR PUB MAN'!$BC$2:$BC$500,'[1]CTR PUB MAN'!$D$2:$D$500)),"")</f>
        <v/>
      </c>
      <c r="E85" s="5" t="str">
        <f>_xlfn.XLOOKUP(C85,[2]Classes!$A$2:$A$500,[2]Classes!$D$2:$D$500)</f>
        <v>ASSOCIATION DES ENTREPRISES DES ZONES INDUSTRIELLES MAGZI DE DOUALA-EZIMAD</v>
      </c>
      <c r="F85" s="5" t="str">
        <f>_xlfn.XLOOKUP(C85,[2]Classes!$A$2:$A$500,[2]Classes!$C$2:$C$500)</f>
        <v>VISION POSITIVE DU DEVELOPPEMENT (VIPOD) SARL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spans="1:22" x14ac:dyDescent="0.25">
      <c r="A86">
        <f t="shared" si="1"/>
        <v>83</v>
      </c>
      <c r="B86" s="5" t="s">
        <v>37</v>
      </c>
      <c r="C86" s="5" t="s">
        <v>178</v>
      </c>
      <c r="D86" s="8" t="str">
        <f>IFERROR(HYPERLINK(_xlfn.XLOOKUP(C86,'[1]CTR PUB MAN'!$BC$2:$BC$500,'[1]CTR PUB MAN'!$D$2:$D$500),_xlfn.XLOOKUP(C86,'[1]CTR PUB MAN'!$BC$2:$BC$500,'[1]CTR PUB MAN'!$D$2:$D$500)),"")</f>
        <v>https://is.gd/TfXuwU</v>
      </c>
      <c r="E86" s="5" t="str">
        <f>_xlfn.XLOOKUP(C86,[2]Classes!$A$2:$A$500,[2]Classes!$D$2:$D$500)</f>
        <v>CHAMBRE D'AGRICULTURE, DES PÊCHES, DE L'ELEVAGE ET DES FORÊTS DU CAMEROUN (CAPEF)</v>
      </c>
      <c r="F86" s="5" t="str">
        <f>_xlfn.XLOOKUP(C86,[2]Classes!$A$2:$A$500,[2]Classes!$C$2:$C$500)</f>
        <v>EPAB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spans="1:22" x14ac:dyDescent="0.25">
      <c r="A87">
        <f t="shared" si="1"/>
        <v>84</v>
      </c>
      <c r="B87" s="5" t="s">
        <v>37</v>
      </c>
      <c r="C87" s="5" t="s">
        <v>179</v>
      </c>
      <c r="D87" s="8" t="str">
        <f>IFERROR(HYPERLINK(_xlfn.XLOOKUP(C87,'[1]CTR PUB MAN'!$BC$2:$BC$500,'[1]CTR PUB MAN'!$D$2:$D$500),_xlfn.XLOOKUP(C87,'[1]CTR PUB MAN'!$BC$2:$BC$500,'[1]CTR PUB MAN'!$D$2:$D$500)),"")</f>
        <v/>
      </c>
      <c r="E87" s="5" t="str">
        <f>_xlfn.XLOOKUP(C87,[2]Classes!$A$2:$A$500,[2]Classes!$D$2:$D$500)</f>
        <v>CHAMBRE D'AGRICULTURE, DES PÊCHES, DE L'ELEVAGE ET DES FORÊTS DU CAMEROUN (CAPEF)</v>
      </c>
      <c r="F87" s="5" t="str">
        <f>_xlfn.XLOOKUP(C87,[2]Classes!$A$2:$A$500,[2]Classes!$C$2:$C$500)</f>
        <v>EPAB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 x14ac:dyDescent="0.25">
      <c r="A88">
        <f t="shared" si="1"/>
        <v>85</v>
      </c>
      <c r="B88" s="5" t="s">
        <v>37</v>
      </c>
      <c r="C88" s="5" t="s">
        <v>180</v>
      </c>
      <c r="D88" s="8" t="str">
        <f>IFERROR(HYPERLINK(_xlfn.XLOOKUP(C88,'[1]CTR PUB MAN'!$BC$2:$BC$500,'[1]CTR PUB MAN'!$D$2:$D$500),_xlfn.XLOOKUP(C88,'[1]CTR PUB MAN'!$BC$2:$BC$500,'[1]CTR PUB MAN'!$D$2:$D$500)),"")</f>
        <v>https://is.gd/nPxPDx</v>
      </c>
      <c r="E88" s="5" t="str">
        <f>_xlfn.XLOOKUP(C88,[2]Classes!$A$2:$A$500,[2]Classes!$D$2:$D$500)</f>
        <v>CHAMBRE D'AGRICULTURE, DES PÊCHES, DE L'ELEVAGE ET DES FORÊTS DU CAMEROUN (CAPEF)</v>
      </c>
      <c r="F88" s="5" t="str">
        <f>_xlfn.XLOOKUP(C88,[2]Classes!$A$2:$A$500,[2]Classes!$C$2:$C$500)</f>
        <v>EPAB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 x14ac:dyDescent="0.25">
      <c r="A89">
        <f t="shared" si="1"/>
        <v>86</v>
      </c>
      <c r="B89" s="5" t="s">
        <v>37</v>
      </c>
      <c r="C89" s="5" t="s">
        <v>181</v>
      </c>
      <c r="D89" s="8" t="str">
        <f>IFERROR(HYPERLINK(_xlfn.XLOOKUP(C89,'[1]CTR PUB MAN'!$BC$2:$BC$500,'[1]CTR PUB MAN'!$D$2:$D$500),_xlfn.XLOOKUP(C89,'[1]CTR PUB MAN'!$BC$2:$BC$500,'[1]CTR PUB MAN'!$D$2:$D$500)),"")</f>
        <v/>
      </c>
      <c r="E89" s="5" t="str">
        <f>_xlfn.XLOOKUP(C89,[2]Classes!$A$2:$A$500,[2]Classes!$D$2:$D$500)</f>
        <v>CHAMBRE D'AGRICULTURE, DES PÊCHES, DE L'ELEVAGE ET DES FORÊTS DU CAMEROUN (CAPEF)</v>
      </c>
      <c r="F89" s="5" t="str">
        <f>_xlfn.XLOOKUP(C89,[2]Classes!$A$2:$A$500,[2]Classes!$C$2:$C$500)</f>
        <v>EPAB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5">
      <c r="A90">
        <f t="shared" si="1"/>
        <v>87</v>
      </c>
      <c r="B90" s="5" t="s">
        <v>38</v>
      </c>
      <c r="C90" s="5" t="s">
        <v>182</v>
      </c>
      <c r="D90" s="8" t="str">
        <f>IFERROR(HYPERLINK(_xlfn.XLOOKUP(C90,'[1]CTR PUB MAN'!$BC$2:$BC$500,'[1]CTR PUB MAN'!$D$2:$D$500),_xlfn.XLOOKUP(C90,'[1]CTR PUB MAN'!$BC$2:$BC$500,'[1]CTR PUB MAN'!$D$2:$D$500)),"")</f>
        <v>https://is.gd/QvXzvq</v>
      </c>
      <c r="E90" s="5" t="str">
        <f>_xlfn.XLOOKUP(C90,[2]Classes!$A$2:$A$500,[2]Classes!$D$2:$D$500)</f>
        <v>BAH-ESECK COMMON INITIATIVE GROUP (BCIG)</v>
      </c>
      <c r="F90" s="5" t="str">
        <f>_xlfn.XLOOKUP(C90,[2]Classes!$A$2:$A$500,[2]Classes!$C$2:$C$500)</f>
        <v>UPECA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5">
      <c r="A91">
        <f t="shared" si="1"/>
        <v>88</v>
      </c>
      <c r="B91" s="5" t="s">
        <v>39</v>
      </c>
      <c r="C91" s="5" t="s">
        <v>183</v>
      </c>
      <c r="D91" s="8" t="str">
        <f>IFERROR(HYPERLINK(_xlfn.XLOOKUP(C91,'[1]CTR PUB MAN'!$BC$2:$BC$500,'[1]CTR PUB MAN'!$D$2:$D$500),_xlfn.XLOOKUP(C91,'[1]CTR PUB MAN'!$BC$2:$BC$500,'[1]CTR PUB MAN'!$D$2:$D$500)),"")</f>
        <v>https://is.gd/wDff9d</v>
      </c>
      <c r="E91" s="5" t="str">
        <f>_xlfn.XLOOKUP(C91,[2]Classes!$A$2:$A$500,[2]Classes!$D$2:$D$500)</f>
        <v>MENTI FAMILY MEETING "MENTIFAM GIC"</v>
      </c>
      <c r="F91" s="5" t="str">
        <f>_xlfn.XLOOKUP(C91,[2]Classes!$A$2:$A$500,[2]Classes!$C$2:$C$500)</f>
        <v>UPECA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5">
      <c r="A92">
        <f t="shared" si="1"/>
        <v>89</v>
      </c>
      <c r="B92" s="5" t="s">
        <v>40</v>
      </c>
      <c r="C92" s="5" t="s">
        <v>184</v>
      </c>
      <c r="D92" s="8" t="str">
        <f>IFERROR(HYPERLINK(_xlfn.XLOOKUP(C92,'[1]CTR PUB MAN'!$BC$2:$BC$500,'[1]CTR PUB MAN'!$D$2:$D$500),_xlfn.XLOOKUP(C92,'[1]CTR PUB MAN'!$BC$2:$BC$500,'[1]CTR PUB MAN'!$D$2:$D$500)),"")</f>
        <v>https://is.gd/R6hIzb</v>
      </c>
      <c r="E92" s="5" t="str">
        <f>_xlfn.XLOOKUP(C92,[2]Classes!$A$2:$A$500,[2]Classes!$D$2:$D$500)</f>
        <v>EKONA FARMERS COOPERATIVE SOCIETY (EKONAFCOOP-BOD)</v>
      </c>
      <c r="F92" s="5" t="str">
        <f>_xlfn.XLOOKUP(C92,[2]Classes!$A$2:$A$500,[2]Classes!$C$2:$C$500)</f>
        <v>UPECA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5">
      <c r="A93">
        <f t="shared" si="1"/>
        <v>90</v>
      </c>
      <c r="B93" s="5" t="s">
        <v>40</v>
      </c>
      <c r="C93" s="5" t="s">
        <v>185</v>
      </c>
      <c r="D93" s="8" t="str">
        <f>IFERROR(HYPERLINK(_xlfn.XLOOKUP(C93,'[1]CTR PUB MAN'!$BC$2:$BC$500,'[1]CTR PUB MAN'!$D$2:$D$500),_xlfn.XLOOKUP(C93,'[1]CTR PUB MAN'!$BC$2:$BC$500,'[1]CTR PUB MAN'!$D$2:$D$500)),"")</f>
        <v>https://is.gd/pay5ao</v>
      </c>
      <c r="E93" s="5" t="str">
        <f>_xlfn.XLOOKUP(C93,[2]Classes!$A$2:$A$500,[2]Classes!$D$2:$D$500)</f>
        <v>EKONA FARMERS COOPERATIVE SOCIETY (EKONAFCOOP-BOD)</v>
      </c>
      <c r="F93" s="5" t="str">
        <f>_xlfn.XLOOKUP(C93,[2]Classes!$A$2:$A$500,[2]Classes!$C$2:$C$500)</f>
        <v>UPECA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5">
      <c r="A94">
        <f t="shared" si="1"/>
        <v>91</v>
      </c>
      <c r="B94" s="5" t="s">
        <v>40</v>
      </c>
      <c r="C94" s="5" t="s">
        <v>186</v>
      </c>
      <c r="D94" s="8" t="str">
        <f>IFERROR(HYPERLINK(_xlfn.XLOOKUP(C94,'[1]CTR PUB MAN'!$BC$2:$BC$500,'[1]CTR PUB MAN'!$D$2:$D$500),_xlfn.XLOOKUP(C94,'[1]CTR PUB MAN'!$BC$2:$BC$500,'[1]CTR PUB MAN'!$D$2:$D$500)),"")</f>
        <v>https://is.gd/pxlrl9</v>
      </c>
      <c r="E94" s="5" t="str">
        <f>_xlfn.XLOOKUP(C94,[2]Classes!$A$2:$A$500,[2]Classes!$D$2:$D$500)</f>
        <v>EKONA FARMERS COOPERATIVE SOCIETY (EKONAFCOOP-BOD)</v>
      </c>
      <c r="F94" s="5" t="str">
        <f>_xlfn.XLOOKUP(C94,[2]Classes!$A$2:$A$500,[2]Classes!$C$2:$C$500)</f>
        <v>UPECA</v>
      </c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5">
      <c r="A95">
        <f t="shared" si="1"/>
        <v>92</v>
      </c>
      <c r="B95" s="5" t="s">
        <v>41</v>
      </c>
      <c r="C95" s="5" t="s">
        <v>187</v>
      </c>
      <c r="D95" s="8" t="str">
        <f>IFERROR(HYPERLINK(_xlfn.XLOOKUP(C95,'[1]CTR PUB MAN'!$BC$2:$BC$500,'[1]CTR PUB MAN'!$D$2:$D$500),_xlfn.XLOOKUP(C95,'[1]CTR PUB MAN'!$BC$2:$BC$500,'[1]CTR PUB MAN'!$D$2:$D$500)),"")</f>
        <v/>
      </c>
      <c r="E95" s="5" t="str">
        <f>_xlfn.XLOOKUP(C95,[2]Classes!$A$2:$A$500,[2]Classes!$D$2:$D$500)</f>
        <v>KAOUTAL NARROUBE</v>
      </c>
      <c r="F95" s="5" t="str">
        <f>_xlfn.XLOOKUP(C95,[2]Classes!$A$2:$A$500,[2]Classes!$C$2:$C$500)</f>
        <v>PADIUM EXPRESS SERVICES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5">
      <c r="A96">
        <f t="shared" si="1"/>
        <v>93</v>
      </c>
      <c r="B96" s="5" t="s">
        <v>41</v>
      </c>
      <c r="C96" s="5" t="s">
        <v>188</v>
      </c>
      <c r="D96" s="8" t="str">
        <f>IFERROR(HYPERLINK(_xlfn.XLOOKUP(C96,'[1]CTR PUB MAN'!$BC$2:$BC$500,'[1]CTR PUB MAN'!$D$2:$D$500),_xlfn.XLOOKUP(C96,'[1]CTR PUB MAN'!$BC$2:$BC$500,'[1]CTR PUB MAN'!$D$2:$D$500)),"")</f>
        <v>https://is.gd/u2q1MI</v>
      </c>
      <c r="E96" s="5" t="str">
        <f>_xlfn.XLOOKUP(C96,[2]Classes!$A$2:$A$500,[2]Classes!$D$2:$D$500)</f>
        <v>KAOUTAL NARROUBE</v>
      </c>
      <c r="F96" s="5" t="str">
        <f>_xlfn.XLOOKUP(C96,[2]Classes!$A$2:$A$500,[2]Classes!$C$2:$C$500)</f>
        <v>PADIUM EXPRESS SERVICES</v>
      </c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x14ac:dyDescent="0.25">
      <c r="A97">
        <f t="shared" si="1"/>
        <v>94</v>
      </c>
      <c r="B97" s="5" t="s">
        <v>42</v>
      </c>
      <c r="C97" s="5" t="s">
        <v>189</v>
      </c>
      <c r="D97" s="8" t="str">
        <f>IFERROR(HYPERLINK(_xlfn.XLOOKUP(C97,'[1]CTR PUB MAN'!$BC$2:$BC$500,'[1]CTR PUB MAN'!$D$2:$D$500),_xlfn.XLOOKUP(C97,'[1]CTR PUB MAN'!$BC$2:$BC$500,'[1]CTR PUB MAN'!$D$2:$D$500)),"")</f>
        <v/>
      </c>
      <c r="E97" s="5" t="str">
        <f>_xlfn.XLOOKUP(C97,[2]Classes!$A$2:$A$500,[2]Classes!$D$2:$D$500)</f>
        <v>ASSOCIATION DES ENTREPRENEURS INGENIEUX D'AFRIQUE (ASENIA)</v>
      </c>
      <c r="F97" s="5" t="str">
        <f>_xlfn.XLOOKUP(C97,[2]Classes!$A$2:$A$500,[2]Classes!$C$2:$C$500)</f>
        <v>NAT TECHNOLOGIES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x14ac:dyDescent="0.25">
      <c r="A98">
        <f t="shared" si="1"/>
        <v>95</v>
      </c>
      <c r="B98" s="5" t="s">
        <v>42</v>
      </c>
      <c r="C98" s="5" t="s">
        <v>190</v>
      </c>
      <c r="D98" s="8" t="str">
        <f>IFERROR(HYPERLINK(_xlfn.XLOOKUP(C98,'[1]CTR PUB MAN'!$BC$2:$BC$500,'[1]CTR PUB MAN'!$D$2:$D$500),_xlfn.XLOOKUP(C98,'[1]CTR PUB MAN'!$BC$2:$BC$500,'[1]CTR PUB MAN'!$D$2:$D$500)),"")</f>
        <v>https://is.gd/3LHPU7</v>
      </c>
      <c r="E98" s="5" t="str">
        <f>_xlfn.XLOOKUP(C98,[2]Classes!$A$2:$A$500,[2]Classes!$D$2:$D$500)</f>
        <v>ASSOCIATION DES ENTREPRENEURS INGENIEUX D'AFRIQUE (ASENIA)</v>
      </c>
      <c r="F98" s="5" t="str">
        <f>_xlfn.XLOOKUP(C98,[2]Classes!$A$2:$A$500,[2]Classes!$C$2:$C$500)</f>
        <v>NAT TECHNOLOGIES</v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x14ac:dyDescent="0.25">
      <c r="A99">
        <f t="shared" si="1"/>
        <v>96</v>
      </c>
      <c r="B99" s="5" t="s">
        <v>42</v>
      </c>
      <c r="C99" s="5" t="s">
        <v>191</v>
      </c>
      <c r="D99" s="8" t="str">
        <f>IFERROR(HYPERLINK(_xlfn.XLOOKUP(C99,'[1]CTR PUB MAN'!$BC$2:$BC$500,'[1]CTR PUB MAN'!$D$2:$D$500),_xlfn.XLOOKUP(C99,'[1]CTR PUB MAN'!$BC$2:$BC$500,'[1]CTR PUB MAN'!$D$2:$D$500)),"")</f>
        <v>https://is.gd/XU0pds</v>
      </c>
      <c r="E99" s="5" t="str">
        <f>_xlfn.XLOOKUP(C99,[2]Classes!$A$2:$A$500,[2]Classes!$D$2:$D$500)</f>
        <v>ASSOCIATION DES ENTREPRENEURS INGENIEUX D'AFRIQUE (ASENIA)</v>
      </c>
      <c r="F99" s="5" t="str">
        <f>_xlfn.XLOOKUP(C99,[2]Classes!$A$2:$A$500,[2]Classes!$C$2:$C$500)</f>
        <v>NAT TECHNOLOGIES</v>
      </c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 x14ac:dyDescent="0.25">
      <c r="A100">
        <f t="shared" si="1"/>
        <v>97</v>
      </c>
      <c r="B100" s="5" t="s">
        <v>42</v>
      </c>
      <c r="C100" s="5" t="s">
        <v>192</v>
      </c>
      <c r="D100" s="8" t="str">
        <f>IFERROR(HYPERLINK(_xlfn.XLOOKUP(C100,'[1]CTR PUB MAN'!$BC$2:$BC$500,'[1]CTR PUB MAN'!$D$2:$D$500),_xlfn.XLOOKUP(C100,'[1]CTR PUB MAN'!$BC$2:$BC$500,'[1]CTR PUB MAN'!$D$2:$D$500)),"")</f>
        <v>https://is.gd/bjPiDy</v>
      </c>
      <c r="E100" s="5" t="str">
        <f>_xlfn.XLOOKUP(C100,[2]Classes!$A$2:$A$500,[2]Classes!$D$2:$D$500)</f>
        <v>ASSOCIATION DES ENTREPRENEURS INGENIEUX D'AFRIQUE (ASENIA)</v>
      </c>
      <c r="F100" s="5" t="str">
        <f>_xlfn.XLOOKUP(C100,[2]Classes!$A$2:$A$500,[2]Classes!$C$2:$C$500)</f>
        <v>NAT TECHNOLOGIES</v>
      </c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 x14ac:dyDescent="0.25">
      <c r="A101">
        <f t="shared" si="1"/>
        <v>98</v>
      </c>
      <c r="B101" s="5" t="s">
        <v>42</v>
      </c>
      <c r="C101" s="5" t="s">
        <v>193</v>
      </c>
      <c r="D101" s="8" t="str">
        <f>IFERROR(HYPERLINK(_xlfn.XLOOKUP(C101,'[1]CTR PUB MAN'!$BC$2:$BC$500,'[1]CTR PUB MAN'!$D$2:$D$500),_xlfn.XLOOKUP(C101,'[1]CTR PUB MAN'!$BC$2:$BC$500,'[1]CTR PUB MAN'!$D$2:$D$500)),"")</f>
        <v>https://is.gd/H70Pl8</v>
      </c>
      <c r="E101" s="5" t="str">
        <f>_xlfn.XLOOKUP(C101,[2]Classes!$A$2:$A$500,[2]Classes!$D$2:$D$500)</f>
        <v>ASSOCIATION DES ENTREPRENEURS INGENIEUX D'AFRIQUE (ASENIA)</v>
      </c>
      <c r="F101" s="5" t="str">
        <f>_xlfn.XLOOKUP(C101,[2]Classes!$A$2:$A$500,[2]Classes!$C$2:$C$500)</f>
        <v>NAT TECHNOLOGIES</v>
      </c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spans="1:22" x14ac:dyDescent="0.25">
      <c r="A102">
        <f t="shared" si="1"/>
        <v>99</v>
      </c>
      <c r="B102" s="5" t="s">
        <v>42</v>
      </c>
      <c r="C102" s="5" t="s">
        <v>194</v>
      </c>
      <c r="D102" s="8" t="str">
        <f>IFERROR(HYPERLINK(_xlfn.XLOOKUP(C102,'[1]CTR PUB MAN'!$BC$2:$BC$500,'[1]CTR PUB MAN'!$D$2:$D$500),_xlfn.XLOOKUP(C102,'[1]CTR PUB MAN'!$BC$2:$BC$500,'[1]CTR PUB MAN'!$D$2:$D$500)),"")</f>
        <v/>
      </c>
      <c r="E102" s="5" t="str">
        <f>_xlfn.XLOOKUP(C102,[2]Classes!$A$2:$A$500,[2]Classes!$D$2:$D$500)</f>
        <v>ASSOCIATION DES ENTREPRENEURS INGENIEUX D'AFRIQUE (ASENIA)</v>
      </c>
      <c r="F102" s="5" t="str">
        <f>_xlfn.XLOOKUP(C102,[2]Classes!$A$2:$A$500,[2]Classes!$C$2:$C$500)</f>
        <v>NAT TECHNOLOGIES</v>
      </c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spans="1:22" x14ac:dyDescent="0.25">
      <c r="A103">
        <f t="shared" si="1"/>
        <v>100</v>
      </c>
      <c r="B103" s="5" t="s">
        <v>42</v>
      </c>
      <c r="C103" s="5" t="s">
        <v>195</v>
      </c>
      <c r="D103" s="8" t="str">
        <f>IFERROR(HYPERLINK(_xlfn.XLOOKUP(C103,'[1]CTR PUB MAN'!$BC$2:$BC$500,'[1]CTR PUB MAN'!$D$2:$D$500),_xlfn.XLOOKUP(C103,'[1]CTR PUB MAN'!$BC$2:$BC$500,'[1]CTR PUB MAN'!$D$2:$D$500)),"")</f>
        <v>https://is.gd/BCnkS2</v>
      </c>
      <c r="E103" s="5" t="str">
        <f>_xlfn.XLOOKUP(C103,[2]Classes!$A$2:$A$500,[2]Classes!$D$2:$D$500)</f>
        <v>ASSOCIATION DES ENTREPRENEURS INGENIEUX D'AFRIQUE (ASENIA)</v>
      </c>
      <c r="F103" s="5" t="str">
        <f>_xlfn.XLOOKUP(C103,[2]Classes!$A$2:$A$500,[2]Classes!$C$2:$C$500)</f>
        <v>NAT TECHNOLOGIES</v>
      </c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spans="1:22" x14ac:dyDescent="0.25">
      <c r="A104">
        <f t="shared" si="1"/>
        <v>101</v>
      </c>
      <c r="B104" s="5" t="s">
        <v>42</v>
      </c>
      <c r="C104" s="5" t="s">
        <v>196</v>
      </c>
      <c r="D104" s="8" t="str">
        <f>IFERROR(HYPERLINK(_xlfn.XLOOKUP(C104,'[1]CTR PUB MAN'!$BC$2:$BC$500,'[1]CTR PUB MAN'!$D$2:$D$500),_xlfn.XLOOKUP(C104,'[1]CTR PUB MAN'!$BC$2:$BC$500,'[1]CTR PUB MAN'!$D$2:$D$500)),"")</f>
        <v/>
      </c>
      <c r="E104" s="5" t="str">
        <f>_xlfn.XLOOKUP(C104,[2]Classes!$A$2:$A$500,[2]Classes!$D$2:$D$500)</f>
        <v>ASSOCIATION DES ENTREPRENEURS INGENIEUX D'AFRIQUE (ASENIA)</v>
      </c>
      <c r="F104" s="5" t="str">
        <f>_xlfn.XLOOKUP(C104,[2]Classes!$A$2:$A$500,[2]Classes!$C$2:$C$500)</f>
        <v>NAT TECHNOLOGIES</v>
      </c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spans="1:22" x14ac:dyDescent="0.25">
      <c r="A105">
        <f t="shared" si="1"/>
        <v>102</v>
      </c>
      <c r="B105" s="5" t="s">
        <v>42</v>
      </c>
      <c r="C105" s="5" t="s">
        <v>197</v>
      </c>
      <c r="D105" s="8" t="str">
        <f>IFERROR(HYPERLINK(_xlfn.XLOOKUP(C105,'[1]CTR PUB MAN'!$BC$2:$BC$500,'[1]CTR PUB MAN'!$D$2:$D$500),_xlfn.XLOOKUP(C105,'[1]CTR PUB MAN'!$BC$2:$BC$500,'[1]CTR PUB MAN'!$D$2:$D$500)),"")</f>
        <v>https://is.gd/qSMYcP</v>
      </c>
      <c r="E105" s="5" t="str">
        <f>_xlfn.XLOOKUP(C105,[2]Classes!$A$2:$A$500,[2]Classes!$D$2:$D$500)</f>
        <v>ASSOCIATION DES ENTREPRENEURS INGENIEUX D'AFRIQUE (ASENIA)</v>
      </c>
      <c r="F105" s="5" t="str">
        <f>_xlfn.XLOOKUP(C105,[2]Classes!$A$2:$A$500,[2]Classes!$C$2:$C$500)</f>
        <v>NAT TECHNOLOGIES</v>
      </c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spans="1:22" x14ac:dyDescent="0.25">
      <c r="A106">
        <f t="shared" si="1"/>
        <v>103</v>
      </c>
      <c r="B106" s="5" t="s">
        <v>42</v>
      </c>
      <c r="C106" s="5" t="s">
        <v>198</v>
      </c>
      <c r="D106" s="8" t="str">
        <f>IFERROR(HYPERLINK(_xlfn.XLOOKUP(C106,'[1]CTR PUB MAN'!$BC$2:$BC$500,'[1]CTR PUB MAN'!$D$2:$D$500),_xlfn.XLOOKUP(C106,'[1]CTR PUB MAN'!$BC$2:$BC$500,'[1]CTR PUB MAN'!$D$2:$D$500)),"")</f>
        <v/>
      </c>
      <c r="E106" s="5" t="str">
        <f>_xlfn.XLOOKUP(C106,[2]Classes!$A$2:$A$500,[2]Classes!$D$2:$D$500)</f>
        <v>ASSOCIATION DES ENTREPRENEURS INGENIEUX D'AFRIQUE (ASENIA)</v>
      </c>
      <c r="F106" s="5" t="str">
        <f>_xlfn.XLOOKUP(C106,[2]Classes!$A$2:$A$500,[2]Classes!$C$2:$C$500)</f>
        <v>NAT TECHNOLOGIES</v>
      </c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 x14ac:dyDescent="0.25">
      <c r="A107">
        <f t="shared" si="1"/>
        <v>104</v>
      </c>
      <c r="B107" s="5" t="s">
        <v>42</v>
      </c>
      <c r="C107" s="5" t="s">
        <v>199</v>
      </c>
      <c r="D107" s="8" t="str">
        <f>IFERROR(HYPERLINK(_xlfn.XLOOKUP(C107,'[1]CTR PUB MAN'!$BC$2:$BC$500,'[1]CTR PUB MAN'!$D$2:$D$500),_xlfn.XLOOKUP(C107,'[1]CTR PUB MAN'!$BC$2:$BC$500,'[1]CTR PUB MAN'!$D$2:$D$500)),"")</f>
        <v/>
      </c>
      <c r="E107" s="5" t="str">
        <f>_xlfn.XLOOKUP(C107,[2]Classes!$A$2:$A$500,[2]Classes!$D$2:$D$500)</f>
        <v>ASSOCIATION DES ENTREPRENEURS INGENIEUX D'AFRIQUE (ASENIA)</v>
      </c>
      <c r="F107" s="5" t="str">
        <f>_xlfn.XLOOKUP(C107,[2]Classes!$A$2:$A$500,[2]Classes!$C$2:$C$500)</f>
        <v>NAT TECHNOLOGIES</v>
      </c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 x14ac:dyDescent="0.25">
      <c r="A108">
        <f t="shared" si="1"/>
        <v>105</v>
      </c>
      <c r="B108" s="5" t="s">
        <v>43</v>
      </c>
      <c r="C108" s="5" t="s">
        <v>200</v>
      </c>
      <c r="D108" s="8" t="str">
        <f>IFERROR(HYPERLINK(_xlfn.XLOOKUP(C108,'[1]CTR PUB MAN'!$BC$2:$BC$500,'[1]CTR PUB MAN'!$D$2:$D$500),_xlfn.XLOOKUP(C108,'[1]CTR PUB MAN'!$BC$2:$BC$500,'[1]CTR PUB MAN'!$D$2:$D$500)),"")</f>
        <v>https://is.gd/6IvFQX</v>
      </c>
      <c r="E108" s="5" t="str">
        <f>_xlfn.XLOOKUP(C108,[2]Classes!$A$2:$A$500,[2]Classes!$D$2:$D$500)</f>
        <v>SOCIETE COOPERATIVE SIMPLIFIE AGRICOLE AGRIVILLAGE</v>
      </c>
      <c r="F108" s="5" t="str">
        <f>_xlfn.XLOOKUP(C108,[2]Classes!$A$2:$A$500,[2]Classes!$C$2:$C$500)</f>
        <v>ONG PAARDIC</v>
      </c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 x14ac:dyDescent="0.25">
      <c r="A109">
        <f t="shared" si="1"/>
        <v>106</v>
      </c>
      <c r="B109" s="5" t="s">
        <v>43</v>
      </c>
      <c r="C109" s="5" t="s">
        <v>201</v>
      </c>
      <c r="D109" s="8" t="str">
        <f>IFERROR(HYPERLINK(_xlfn.XLOOKUP(C109,'[1]CTR PUB MAN'!$BC$2:$BC$500,'[1]CTR PUB MAN'!$D$2:$D$500),_xlfn.XLOOKUP(C109,'[1]CTR PUB MAN'!$BC$2:$BC$500,'[1]CTR PUB MAN'!$D$2:$D$500)),"")</f>
        <v/>
      </c>
      <c r="E109" s="5" t="str">
        <f>_xlfn.XLOOKUP(C109,[2]Classes!$A$2:$A$500,[2]Classes!$D$2:$D$500)</f>
        <v>SOCIETE COOPERATIVE SIMPLIFIE AGRICOLE AGRIVILLAGE</v>
      </c>
      <c r="F109" s="5" t="str">
        <f>_xlfn.XLOOKUP(C109,[2]Classes!$A$2:$A$500,[2]Classes!$C$2:$C$500)</f>
        <v>ONG PAARDIC</v>
      </c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spans="1:22" x14ac:dyDescent="0.25">
      <c r="A110">
        <f t="shared" si="1"/>
        <v>107</v>
      </c>
      <c r="B110" s="5" t="s">
        <v>43</v>
      </c>
      <c r="C110" s="5" t="s">
        <v>202</v>
      </c>
      <c r="D110" s="8" t="str">
        <f>IFERROR(HYPERLINK(_xlfn.XLOOKUP(C110,'[1]CTR PUB MAN'!$BC$2:$BC$500,'[1]CTR PUB MAN'!$D$2:$D$500),_xlfn.XLOOKUP(C110,'[1]CTR PUB MAN'!$BC$2:$BC$500,'[1]CTR PUB MAN'!$D$2:$D$500)),"")</f>
        <v/>
      </c>
      <c r="E110" s="5" t="str">
        <f>_xlfn.XLOOKUP(C110,[2]Classes!$A$2:$A$500,[2]Classes!$D$2:$D$500)</f>
        <v>SOCIETE COOPERATIVE SIMPLIFIE AGRICOLE AGRIVILLAGE</v>
      </c>
      <c r="F110" s="5" t="str">
        <f>_xlfn.XLOOKUP(C110,[2]Classes!$A$2:$A$500,[2]Classes!$C$2:$C$500)</f>
        <v>ONG PAARDIC</v>
      </c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spans="1:22" x14ac:dyDescent="0.25">
      <c r="A111">
        <f t="shared" si="1"/>
        <v>108</v>
      </c>
      <c r="B111" s="5" t="s">
        <v>43</v>
      </c>
      <c r="C111" s="5" t="s">
        <v>203</v>
      </c>
      <c r="D111" s="8" t="str">
        <f>IFERROR(HYPERLINK(_xlfn.XLOOKUP(C111,'[1]CTR PUB MAN'!$BC$2:$BC$500,'[1]CTR PUB MAN'!$D$2:$D$500),_xlfn.XLOOKUP(C111,'[1]CTR PUB MAN'!$BC$2:$BC$500,'[1]CTR PUB MAN'!$D$2:$D$500)),"")</f>
        <v/>
      </c>
      <c r="E111" s="5" t="str">
        <f>_xlfn.XLOOKUP(C111,[2]Classes!$A$2:$A$500,[2]Classes!$D$2:$D$500)</f>
        <v>SOCIETE COOPERATIVE SIMPLIFIE AGRICOLE AGRIVILLAGE</v>
      </c>
      <c r="F111" s="5" t="str">
        <f>_xlfn.XLOOKUP(C111,[2]Classes!$A$2:$A$500,[2]Classes!$C$2:$C$500)</f>
        <v>ONG PAARDIC</v>
      </c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 x14ac:dyDescent="0.25">
      <c r="A112">
        <f t="shared" si="1"/>
        <v>109</v>
      </c>
      <c r="B112" s="5" t="s">
        <v>43</v>
      </c>
      <c r="C112" s="5" t="s">
        <v>204</v>
      </c>
      <c r="D112" s="8" t="str">
        <f>IFERROR(HYPERLINK(_xlfn.XLOOKUP(C112,'[1]CTR PUB MAN'!$BC$2:$BC$500,'[1]CTR PUB MAN'!$D$2:$D$500),_xlfn.XLOOKUP(C112,'[1]CTR PUB MAN'!$BC$2:$BC$500,'[1]CTR PUB MAN'!$D$2:$D$500)),"")</f>
        <v/>
      </c>
      <c r="E112" s="5" t="str">
        <f>_xlfn.XLOOKUP(C112,[2]Classes!$A$2:$A$500,[2]Classes!$D$2:$D$500)</f>
        <v>SOCIETE COOPERATIVE SIMPLIFIE AGRICOLE AGRIVILLAGE</v>
      </c>
      <c r="F112" s="5" t="str">
        <f>_xlfn.XLOOKUP(C112,[2]Classes!$A$2:$A$500,[2]Classes!$C$2:$C$500)</f>
        <v>ONG PAARDIC</v>
      </c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spans="1:22" x14ac:dyDescent="0.25">
      <c r="A113">
        <f t="shared" si="1"/>
        <v>110</v>
      </c>
      <c r="B113" s="5" t="s">
        <v>44</v>
      </c>
      <c r="C113" s="5" t="s">
        <v>205</v>
      </c>
      <c r="D113" s="8" t="str">
        <f>IFERROR(HYPERLINK(_xlfn.XLOOKUP(C113,'[1]CTR PUB MAN'!$BC$2:$BC$500,'[1]CTR PUB MAN'!$D$2:$D$500),_xlfn.XLOOKUP(C113,'[1]CTR PUB MAN'!$BC$2:$BC$500,'[1]CTR PUB MAN'!$D$2:$D$500)),"")</f>
        <v>https://is.gd/3EQkoZ</v>
      </c>
      <c r="E113" s="5" t="str">
        <f>_xlfn.XLOOKUP(C113,[2]Classes!$A$2:$A$500,[2]Classes!$D$2:$D$500)</f>
        <v>MIKE YANOU FOUNDATION</v>
      </c>
      <c r="F113" s="5" t="str">
        <f>_xlfn.XLOOKUP(C113,[2]Classes!$A$2:$A$500,[2]Classes!$C$2:$C$500)</f>
        <v>RINOO CAMEROON LTD</v>
      </c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spans="1:22" x14ac:dyDescent="0.25">
      <c r="A114">
        <f t="shared" si="1"/>
        <v>111</v>
      </c>
      <c r="B114" s="5" t="s">
        <v>45</v>
      </c>
      <c r="C114" s="5" t="s">
        <v>206</v>
      </c>
      <c r="D114" s="8" t="str">
        <f>IFERROR(HYPERLINK(_xlfn.XLOOKUP(C114,'[1]CTR PUB MAN'!$BC$2:$BC$500,'[1]CTR PUB MAN'!$D$2:$D$500),_xlfn.XLOOKUP(C114,'[1]CTR PUB MAN'!$BC$2:$BC$500,'[1]CTR PUB MAN'!$D$2:$D$500)),"")</f>
        <v/>
      </c>
      <c r="E114" s="5" t="str">
        <f>_xlfn.XLOOKUP(C114,[2]Classes!$A$2:$A$500,[2]Classes!$D$2:$D$500)</f>
        <v>MUYUKA CENTRAL FARMERS COOPERATIVE SOCIETY "MUCEFCOOP BOD"</v>
      </c>
      <c r="F114" s="5" t="str">
        <f>_xlfn.XLOOKUP(C114,[2]Classes!$A$2:$A$500,[2]Classes!$C$2:$C$500)</f>
        <v>UPECA</v>
      </c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 x14ac:dyDescent="0.25">
      <c r="A115">
        <f t="shared" si="1"/>
        <v>112</v>
      </c>
      <c r="B115" s="5" t="s">
        <v>45</v>
      </c>
      <c r="C115" s="5" t="s">
        <v>207</v>
      </c>
      <c r="D115" s="8" t="str">
        <f>IFERROR(HYPERLINK(_xlfn.XLOOKUP(C115,'[1]CTR PUB MAN'!$BC$2:$BC$500,'[1]CTR PUB MAN'!$D$2:$D$500),_xlfn.XLOOKUP(C115,'[1]CTR PUB MAN'!$BC$2:$BC$500,'[1]CTR PUB MAN'!$D$2:$D$500)),"")</f>
        <v/>
      </c>
      <c r="E115" s="5" t="str">
        <f>_xlfn.XLOOKUP(C115,[2]Classes!$A$2:$A$500,[2]Classes!$D$2:$D$500)</f>
        <v>MUYUKA CENTRAL FARMERS COOPERATIVE SOCIETY "MUCEFCOOP BOD"</v>
      </c>
      <c r="F115" s="5" t="str">
        <f>_xlfn.XLOOKUP(C115,[2]Classes!$A$2:$A$500,[2]Classes!$C$2:$C$500)</f>
        <v>UPECA</v>
      </c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spans="1:22" x14ac:dyDescent="0.25">
      <c r="A116">
        <f t="shared" si="1"/>
        <v>113</v>
      </c>
      <c r="B116" s="5" t="s">
        <v>45</v>
      </c>
      <c r="C116" s="5" t="s">
        <v>208</v>
      </c>
      <c r="D116" s="8" t="str">
        <f>IFERROR(HYPERLINK(_xlfn.XLOOKUP(C116,'[1]CTR PUB MAN'!$BC$2:$BC$500,'[1]CTR PUB MAN'!$D$2:$D$500),_xlfn.XLOOKUP(C116,'[1]CTR PUB MAN'!$BC$2:$BC$500,'[1]CTR PUB MAN'!$D$2:$D$500)),"")</f>
        <v>https://is.gd/FUtZ1x</v>
      </c>
      <c r="E116" s="5" t="str">
        <f>_xlfn.XLOOKUP(C116,[2]Classes!$A$2:$A$500,[2]Classes!$D$2:$D$500)</f>
        <v>MUYUKA CENTRAL FARMERS COOPERATIVE SOCIETY "MUCEFCOOP BOD"</v>
      </c>
      <c r="F116" s="5" t="str">
        <f>_xlfn.XLOOKUP(C116,[2]Classes!$A$2:$A$500,[2]Classes!$C$2:$C$500)</f>
        <v>UPECA</v>
      </c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 x14ac:dyDescent="0.25">
      <c r="A117">
        <f t="shared" si="1"/>
        <v>114</v>
      </c>
      <c r="B117" s="5" t="s">
        <v>46</v>
      </c>
      <c r="C117" s="5" t="s">
        <v>209</v>
      </c>
      <c r="D117" s="8" t="str">
        <f>IFERROR(HYPERLINK(_xlfn.XLOOKUP(C117,'[1]CTR PUB MAN'!$BC$2:$BC$500,'[1]CTR PUB MAN'!$D$2:$D$500),_xlfn.XLOOKUP(C117,'[1]CTR PUB MAN'!$BC$2:$BC$500,'[1]CTR PUB MAN'!$D$2:$D$500)),"")</f>
        <v>https://is.gd/eO84Ql</v>
      </c>
      <c r="E117" s="5" t="str">
        <f>_xlfn.XLOOKUP(C117,[2]Classes!$A$2:$A$500,[2]Classes!$D$2:$D$500)</f>
        <v>CASSAVA GOLD</v>
      </c>
      <c r="F117" s="5" t="str">
        <f>_xlfn.XLOOKUP(C117,[2]Classes!$A$2:$A$500,[2]Classes!$C$2:$C$500)</f>
        <v>CFP-EN</v>
      </c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 x14ac:dyDescent="0.25">
      <c r="A118">
        <f t="shared" si="1"/>
        <v>115</v>
      </c>
      <c r="B118" s="5" t="s">
        <v>47</v>
      </c>
      <c r="C118" s="5" t="s">
        <v>210</v>
      </c>
      <c r="D118" s="8" t="str">
        <f>IFERROR(HYPERLINK(_xlfn.XLOOKUP(C118,'[1]CTR PUB MAN'!$BC$2:$BC$500,'[1]CTR PUB MAN'!$D$2:$D$500),_xlfn.XLOOKUP(C118,'[1]CTR PUB MAN'!$BC$2:$BC$500,'[1]CTR PUB MAN'!$D$2:$D$500)),"")</f>
        <v>https://is.gd/5DkNZ2</v>
      </c>
      <c r="E118" s="5" t="str">
        <f>_xlfn.XLOOKUP(C118,[2]Classes!$A$2:$A$500,[2]Classes!$D$2:$D$500)</f>
        <v>ORGANISATION DES METIERS INTER ARTISANAL (OMIA)</v>
      </c>
      <c r="F118" s="5" t="str">
        <f>_xlfn.XLOOKUP(C118,[2]Classes!$A$2:$A$500,[2]Classes!$C$2:$C$500)</f>
        <v>ETS TAF SERVICES</v>
      </c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 x14ac:dyDescent="0.25">
      <c r="A119">
        <f t="shared" si="1"/>
        <v>116</v>
      </c>
      <c r="B119" s="5" t="s">
        <v>48</v>
      </c>
      <c r="C119" s="5" t="s">
        <v>211</v>
      </c>
      <c r="D119" s="8" t="str">
        <f>IFERROR(HYPERLINK(_xlfn.XLOOKUP(C119,'[1]CTR PUB MAN'!$BC$2:$BC$500,'[1]CTR PUB MAN'!$D$2:$D$500),_xlfn.XLOOKUP(C119,'[1]CTR PUB MAN'!$BC$2:$BC$500,'[1]CTR PUB MAN'!$D$2:$D$500)),"")</f>
        <v>https://is.gd/Ne00sd</v>
      </c>
      <c r="E119" s="5" t="str">
        <f>_xlfn.XLOOKUP(C119,[2]Classes!$A$2:$A$500,[2]Classes!$D$2:$D$500)</f>
        <v>GLOBALMON CAMEROUN</v>
      </c>
      <c r="F119" s="5" t="str">
        <f>_xlfn.XLOOKUP(C119,[2]Classes!$A$2:$A$500,[2]Classes!$C$2:$C$500)</f>
        <v>Centre de Formation et d'Education aux Métiers (CFEM)</v>
      </c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spans="1:22" x14ac:dyDescent="0.25">
      <c r="A120">
        <f t="shared" si="1"/>
        <v>117</v>
      </c>
      <c r="B120" s="5" t="s">
        <v>48</v>
      </c>
      <c r="C120" s="5" t="s">
        <v>212</v>
      </c>
      <c r="D120" s="8" t="str">
        <f>IFERROR(HYPERLINK(_xlfn.XLOOKUP(C120,'[1]CTR PUB MAN'!$BC$2:$BC$500,'[1]CTR PUB MAN'!$D$2:$D$500),_xlfn.XLOOKUP(C120,'[1]CTR PUB MAN'!$BC$2:$BC$500,'[1]CTR PUB MAN'!$D$2:$D$500)),"")</f>
        <v/>
      </c>
      <c r="E120" s="5" t="str">
        <f>_xlfn.XLOOKUP(C120,[2]Classes!$A$2:$A$500,[2]Classes!$D$2:$D$500)</f>
        <v>GLOBALMON CAMEROUN</v>
      </c>
      <c r="F120" s="5" t="str">
        <f>_xlfn.XLOOKUP(C120,[2]Classes!$A$2:$A$500,[2]Classes!$C$2:$C$500)</f>
        <v>Centre de Formation et d'Education aux Métiers (CFEM)</v>
      </c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spans="1:22" x14ac:dyDescent="0.25">
      <c r="A121">
        <f t="shared" si="1"/>
        <v>118</v>
      </c>
      <c r="B121" s="5" t="s">
        <v>48</v>
      </c>
      <c r="C121" s="5" t="s">
        <v>213</v>
      </c>
      <c r="D121" s="8" t="str">
        <f>IFERROR(HYPERLINK(_xlfn.XLOOKUP(C121,'[1]CTR PUB MAN'!$BC$2:$BC$500,'[1]CTR PUB MAN'!$D$2:$D$500),_xlfn.XLOOKUP(C121,'[1]CTR PUB MAN'!$BC$2:$BC$500,'[1]CTR PUB MAN'!$D$2:$D$500)),"")</f>
        <v>https://is.gd/WYVmFI</v>
      </c>
      <c r="E121" s="5" t="str">
        <f>_xlfn.XLOOKUP(C121,[2]Classes!$A$2:$A$500,[2]Classes!$D$2:$D$500)</f>
        <v>GLOBALMON CAMEROUN</v>
      </c>
      <c r="F121" s="5" t="str">
        <f>_xlfn.XLOOKUP(C121,[2]Classes!$A$2:$A$500,[2]Classes!$C$2:$C$500)</f>
        <v>Centre de Formation et d'Education aux Métiers (CFEM)</v>
      </c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 x14ac:dyDescent="0.25">
      <c r="A122">
        <f t="shared" si="1"/>
        <v>119</v>
      </c>
      <c r="B122" s="5" t="s">
        <v>49</v>
      </c>
      <c r="C122" s="5" t="s">
        <v>214</v>
      </c>
      <c r="D122" s="8" t="str">
        <f>IFERROR(HYPERLINK(_xlfn.XLOOKUP(C122,'[1]CTR PUB MAN'!$BC$2:$BC$500,'[1]CTR PUB MAN'!$D$2:$D$500),_xlfn.XLOOKUP(C122,'[1]CTR PUB MAN'!$BC$2:$BC$500,'[1]CTR PUB MAN'!$D$2:$D$500)),"")</f>
        <v>https://is.gd/yj4fDR</v>
      </c>
      <c r="E122" s="5" t="str">
        <f>_xlfn.XLOOKUP(C122,[2]Classes!$A$2:$A$500,[2]Classes!$D$2:$D$500)</f>
        <v>EDEN YOUNG FARMERS (EYF)</v>
      </c>
      <c r="F122" s="5" t="str">
        <f>_xlfn.XLOOKUP(C122,[2]Classes!$A$2:$A$500,[2]Classes!$C$2:$C$500)</f>
        <v>UPECA</v>
      </c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 x14ac:dyDescent="0.25">
      <c r="A123">
        <f t="shared" si="1"/>
        <v>120</v>
      </c>
      <c r="B123" s="5" t="s">
        <v>50</v>
      </c>
      <c r="C123" s="5" t="s">
        <v>215</v>
      </c>
      <c r="D123" s="8" t="str">
        <f>IFERROR(HYPERLINK(_xlfn.XLOOKUP(C123,'[1]CTR PUB MAN'!$BC$2:$BC$500,'[1]CTR PUB MAN'!$D$2:$D$500),_xlfn.XLOOKUP(C123,'[1]CTR PUB MAN'!$BC$2:$BC$500,'[1]CTR PUB MAN'!$D$2:$D$500)),"")</f>
        <v/>
      </c>
      <c r="E123" s="5" t="str">
        <f>_xlfn.XLOOKUP(C123,[2]Classes!$A$2:$A$500,[2]Classes!$D$2:$D$500)</f>
        <v>SCOOPS MAALE DES PRODUCTEURS DE COTON DE GAZAWA</v>
      </c>
      <c r="F123" s="5" t="str">
        <f>_xlfn.XLOOKUP(C123,[2]Classes!$A$2:$A$500,[2]Classes!$C$2:$C$500)</f>
        <v>PADIUM EXPRESS SERVICES</v>
      </c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 x14ac:dyDescent="0.25">
      <c r="A124">
        <f t="shared" si="1"/>
        <v>121</v>
      </c>
      <c r="B124" s="5" t="s">
        <v>50</v>
      </c>
      <c r="C124" s="5" t="s">
        <v>216</v>
      </c>
      <c r="D124" s="8" t="str">
        <f>IFERROR(HYPERLINK(_xlfn.XLOOKUP(C124,'[1]CTR PUB MAN'!$BC$2:$BC$500,'[1]CTR PUB MAN'!$D$2:$D$500),_xlfn.XLOOKUP(C124,'[1]CTR PUB MAN'!$BC$2:$BC$500,'[1]CTR PUB MAN'!$D$2:$D$500)),"")</f>
        <v>https://is.gd/77xBed</v>
      </c>
      <c r="E124" s="5" t="str">
        <f>_xlfn.XLOOKUP(C124,[2]Classes!$A$2:$A$500,[2]Classes!$D$2:$D$500)</f>
        <v>SCOOPS MAALE DES PRODUCTEURS DE COTON DE GAZAWA</v>
      </c>
      <c r="F124" s="5" t="str">
        <f>_xlfn.XLOOKUP(C124,[2]Classes!$A$2:$A$500,[2]Classes!$C$2:$C$500)</f>
        <v>PADIUM EXPRESS SERVICES</v>
      </c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 x14ac:dyDescent="0.25">
      <c r="A125">
        <f t="shared" si="1"/>
        <v>122</v>
      </c>
      <c r="B125" s="5" t="s">
        <v>50</v>
      </c>
      <c r="C125" s="5" t="s">
        <v>217</v>
      </c>
      <c r="D125" s="8" t="str">
        <f>IFERROR(HYPERLINK(_xlfn.XLOOKUP(C125,'[1]CTR PUB MAN'!$BC$2:$BC$500,'[1]CTR PUB MAN'!$D$2:$D$500),_xlfn.XLOOKUP(C125,'[1]CTR PUB MAN'!$BC$2:$BC$500,'[1]CTR PUB MAN'!$D$2:$D$500)),"")</f>
        <v/>
      </c>
      <c r="E125" s="5" t="str">
        <f>_xlfn.XLOOKUP(C125,[2]Classes!$A$2:$A$500,[2]Classes!$D$2:$D$500)</f>
        <v>SCOOPS MAALE DES PRODUCTEURS DE COTON DE GAZAWA</v>
      </c>
      <c r="F125" s="5" t="str">
        <f>_xlfn.XLOOKUP(C125,[2]Classes!$A$2:$A$500,[2]Classes!$C$2:$C$500)</f>
        <v>PADIUM EXPRESS SERVICES</v>
      </c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 x14ac:dyDescent="0.25">
      <c r="A126">
        <f t="shared" si="1"/>
        <v>123</v>
      </c>
      <c r="B126" s="5" t="s">
        <v>51</v>
      </c>
      <c r="C126" s="5" t="s">
        <v>218</v>
      </c>
      <c r="D126" s="8" t="str">
        <f>IFERROR(HYPERLINK(_xlfn.XLOOKUP(C126,'[1]CTR PUB MAN'!$BC$2:$BC$500,'[1]CTR PUB MAN'!$D$2:$D$500),_xlfn.XLOOKUP(C126,'[1]CTR PUB MAN'!$BC$2:$BC$500,'[1]CTR PUB MAN'!$D$2:$D$500)),"")</f>
        <v/>
      </c>
      <c r="E126" s="5" t="str">
        <f>_xlfn.XLOOKUP(C126,[2]Classes!$A$2:$A$500,[2]Classes!$D$2:$D$500)</f>
        <v>IRISA</v>
      </c>
      <c r="F126" s="5" t="str">
        <f>_xlfn.XLOOKUP(C126,[2]Classes!$A$2:$A$500,[2]Classes!$C$2:$C$500)</f>
        <v>Centre de Formation et d'Education aux Métiers (CFEM)</v>
      </c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 x14ac:dyDescent="0.25">
      <c r="A127">
        <f t="shared" si="1"/>
        <v>124</v>
      </c>
      <c r="B127" s="5" t="s">
        <v>51</v>
      </c>
      <c r="C127" s="5" t="s">
        <v>219</v>
      </c>
      <c r="D127" s="8" t="str">
        <f>IFERROR(HYPERLINK(_xlfn.XLOOKUP(C127,'[1]CTR PUB MAN'!$BC$2:$BC$500,'[1]CTR PUB MAN'!$D$2:$D$500),_xlfn.XLOOKUP(C127,'[1]CTR PUB MAN'!$BC$2:$BC$500,'[1]CTR PUB MAN'!$D$2:$D$500)),"")</f>
        <v/>
      </c>
      <c r="E127" s="5" t="str">
        <f>_xlfn.XLOOKUP(C127,[2]Classes!$A$2:$A$500,[2]Classes!$D$2:$D$500)</f>
        <v>IRISA</v>
      </c>
      <c r="F127" s="5" t="str">
        <f>_xlfn.XLOOKUP(C127,[2]Classes!$A$2:$A$500,[2]Classes!$C$2:$C$500)</f>
        <v>Centre de Formation et d'Education aux Métiers (CFEM)</v>
      </c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 x14ac:dyDescent="0.25">
      <c r="A128">
        <f t="shared" si="1"/>
        <v>125</v>
      </c>
      <c r="B128" s="5" t="s">
        <v>51</v>
      </c>
      <c r="C128" s="5" t="s">
        <v>220</v>
      </c>
      <c r="D128" s="8" t="str">
        <f>IFERROR(HYPERLINK(_xlfn.XLOOKUP(C128,'[1]CTR PUB MAN'!$BC$2:$BC$500,'[1]CTR PUB MAN'!$D$2:$D$500),_xlfn.XLOOKUP(C128,'[1]CTR PUB MAN'!$BC$2:$BC$500,'[1]CTR PUB MAN'!$D$2:$D$500)),"")</f>
        <v/>
      </c>
      <c r="E128" s="5" t="str">
        <f>_xlfn.XLOOKUP(C128,[2]Classes!$A$2:$A$500,[2]Classes!$D$2:$D$500)</f>
        <v>IRISA</v>
      </c>
      <c r="F128" s="5" t="str">
        <f>_xlfn.XLOOKUP(C128,[2]Classes!$A$2:$A$500,[2]Classes!$C$2:$C$500)</f>
        <v>Centre de Formation et d'Education aux Métiers (CFEM)</v>
      </c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spans="1:22" x14ac:dyDescent="0.25">
      <c r="A129">
        <f t="shared" si="1"/>
        <v>126</v>
      </c>
      <c r="B129" s="5" t="s">
        <v>51</v>
      </c>
      <c r="C129" s="5" t="s">
        <v>221</v>
      </c>
      <c r="D129" s="8" t="str">
        <f>IFERROR(HYPERLINK(_xlfn.XLOOKUP(C129,'[1]CTR PUB MAN'!$BC$2:$BC$500,'[1]CTR PUB MAN'!$D$2:$D$500),_xlfn.XLOOKUP(C129,'[1]CTR PUB MAN'!$BC$2:$BC$500,'[1]CTR PUB MAN'!$D$2:$D$500)),"")</f>
        <v>https://is.gd/3D3BTo</v>
      </c>
      <c r="E129" s="5" t="str">
        <f>_xlfn.XLOOKUP(C129,[2]Classes!$A$2:$A$500,[2]Classes!$D$2:$D$500)</f>
        <v>IRISA</v>
      </c>
      <c r="F129" s="5" t="str">
        <f>_xlfn.XLOOKUP(C129,[2]Classes!$A$2:$A$500,[2]Classes!$C$2:$C$500)</f>
        <v>Centre de Formation et d'Education aux Métiers (CFEM)</v>
      </c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 x14ac:dyDescent="0.25">
      <c r="A130">
        <f t="shared" si="1"/>
        <v>127</v>
      </c>
      <c r="B130" s="5" t="s">
        <v>51</v>
      </c>
      <c r="C130" s="5" t="s">
        <v>222</v>
      </c>
      <c r="D130" s="8" t="str">
        <f>IFERROR(HYPERLINK(_xlfn.XLOOKUP(C130,'[1]CTR PUB MAN'!$BC$2:$BC$500,'[1]CTR PUB MAN'!$D$2:$D$500),_xlfn.XLOOKUP(C130,'[1]CTR PUB MAN'!$BC$2:$BC$500,'[1]CTR PUB MAN'!$D$2:$D$500)),"")</f>
        <v>https://is.gd/z79lUn</v>
      </c>
      <c r="E130" s="5" t="str">
        <f>_xlfn.XLOOKUP(C130,[2]Classes!$A$2:$A$500,[2]Classes!$D$2:$D$500)</f>
        <v>IRISA</v>
      </c>
      <c r="F130" s="5" t="str">
        <f>_xlfn.XLOOKUP(C130,[2]Classes!$A$2:$A$500,[2]Classes!$C$2:$C$500)</f>
        <v>Centre de Formation et d'Education aux Métiers (CFEM)</v>
      </c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spans="1:22" x14ac:dyDescent="0.25">
      <c r="A131">
        <f t="shared" si="1"/>
        <v>128</v>
      </c>
      <c r="B131" s="5" t="s">
        <v>51</v>
      </c>
      <c r="C131" s="5" t="s">
        <v>223</v>
      </c>
      <c r="D131" s="8" t="str">
        <f>IFERROR(HYPERLINK(_xlfn.XLOOKUP(C131,'[1]CTR PUB MAN'!$BC$2:$BC$500,'[1]CTR PUB MAN'!$D$2:$D$500),_xlfn.XLOOKUP(C131,'[1]CTR PUB MAN'!$BC$2:$BC$500,'[1]CTR PUB MAN'!$D$2:$D$500)),"")</f>
        <v/>
      </c>
      <c r="E131" s="5" t="str">
        <f>_xlfn.XLOOKUP(C131,[2]Classes!$A$2:$A$500,[2]Classes!$D$2:$D$500)</f>
        <v>IRISA</v>
      </c>
      <c r="F131" s="5" t="str">
        <f>_xlfn.XLOOKUP(C131,[2]Classes!$A$2:$A$500,[2]Classes!$C$2:$C$500)</f>
        <v>Centre de Formation et d'Education aux Métiers (CFEM)</v>
      </c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spans="1:22" x14ac:dyDescent="0.25">
      <c r="A132">
        <f t="shared" si="1"/>
        <v>129</v>
      </c>
      <c r="B132" s="5" t="s">
        <v>51</v>
      </c>
      <c r="C132" s="5" t="s">
        <v>224</v>
      </c>
      <c r="D132" s="8" t="str">
        <f>IFERROR(HYPERLINK(_xlfn.XLOOKUP(C132,'[1]CTR PUB MAN'!$BC$2:$BC$500,'[1]CTR PUB MAN'!$D$2:$D$500),_xlfn.XLOOKUP(C132,'[1]CTR PUB MAN'!$BC$2:$BC$500,'[1]CTR PUB MAN'!$D$2:$D$500)),"")</f>
        <v/>
      </c>
      <c r="E132" s="5" t="str">
        <f>_xlfn.XLOOKUP(C132,[2]Classes!$A$2:$A$500,[2]Classes!$D$2:$D$500)</f>
        <v>IRISA</v>
      </c>
      <c r="F132" s="5" t="str">
        <f>_xlfn.XLOOKUP(C132,[2]Classes!$A$2:$A$500,[2]Classes!$C$2:$C$500)</f>
        <v>Centre de Formation et d'Education aux Métiers (CFEM)</v>
      </c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spans="1:22" x14ac:dyDescent="0.25">
      <c r="A133">
        <f t="shared" si="1"/>
        <v>130</v>
      </c>
      <c r="B133" s="5" t="s">
        <v>51</v>
      </c>
      <c r="C133" s="5" t="s">
        <v>225</v>
      </c>
      <c r="D133" s="8" t="str">
        <f>IFERROR(HYPERLINK(_xlfn.XLOOKUP(C133,'[1]CTR PUB MAN'!$BC$2:$BC$500,'[1]CTR PUB MAN'!$D$2:$D$500),_xlfn.XLOOKUP(C133,'[1]CTR PUB MAN'!$BC$2:$BC$500,'[1]CTR PUB MAN'!$D$2:$D$500)),"")</f>
        <v/>
      </c>
      <c r="E133" s="5" t="str">
        <f>_xlfn.XLOOKUP(C133,[2]Classes!$A$2:$A$500,[2]Classes!$D$2:$D$500)</f>
        <v>IRISA</v>
      </c>
      <c r="F133" s="5" t="str">
        <f>_xlfn.XLOOKUP(C133,[2]Classes!$A$2:$A$500,[2]Classes!$C$2:$C$500)</f>
        <v>Centre de Formation et d'Education aux Métiers (CFEM)</v>
      </c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spans="1:22" x14ac:dyDescent="0.25">
      <c r="A134">
        <f t="shared" ref="A134:A197" si="2">1+A133</f>
        <v>131</v>
      </c>
      <c r="B134" s="5" t="s">
        <v>51</v>
      </c>
      <c r="C134" s="5" t="s">
        <v>226</v>
      </c>
      <c r="D134" s="8" t="str">
        <f>IFERROR(HYPERLINK(_xlfn.XLOOKUP(C134,'[1]CTR PUB MAN'!$BC$2:$BC$500,'[1]CTR PUB MAN'!$D$2:$D$500),_xlfn.XLOOKUP(C134,'[1]CTR PUB MAN'!$BC$2:$BC$500,'[1]CTR PUB MAN'!$D$2:$D$500)),"")</f>
        <v/>
      </c>
      <c r="E134" s="5" t="str">
        <f>_xlfn.XLOOKUP(C134,[2]Classes!$A$2:$A$500,[2]Classes!$D$2:$D$500)</f>
        <v>IRISA</v>
      </c>
      <c r="F134" s="5" t="str">
        <f>_xlfn.XLOOKUP(C134,[2]Classes!$A$2:$A$500,[2]Classes!$C$2:$C$500)</f>
        <v>Centre de Formation et d'Education aux Métiers (CFEM)</v>
      </c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 x14ac:dyDescent="0.25">
      <c r="A135">
        <f t="shared" si="2"/>
        <v>132</v>
      </c>
      <c r="B135" s="5" t="s">
        <v>51</v>
      </c>
      <c r="C135" s="5" t="s">
        <v>227</v>
      </c>
      <c r="D135" s="8" t="str">
        <f>IFERROR(HYPERLINK(_xlfn.XLOOKUP(C135,'[1]CTR PUB MAN'!$BC$2:$BC$500,'[1]CTR PUB MAN'!$D$2:$D$500),_xlfn.XLOOKUP(C135,'[1]CTR PUB MAN'!$BC$2:$BC$500,'[1]CTR PUB MAN'!$D$2:$D$500)),"")</f>
        <v/>
      </c>
      <c r="E135" s="5" t="str">
        <f>_xlfn.XLOOKUP(C135,[2]Classes!$A$2:$A$500,[2]Classes!$D$2:$D$500)</f>
        <v>IRISA</v>
      </c>
      <c r="F135" s="5" t="str">
        <f>_xlfn.XLOOKUP(C135,[2]Classes!$A$2:$A$500,[2]Classes!$C$2:$C$500)</f>
        <v>Centre de Formation et d'Education aux Métiers (CFEM)</v>
      </c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 x14ac:dyDescent="0.25">
      <c r="A136">
        <f t="shared" si="2"/>
        <v>133</v>
      </c>
      <c r="B136" s="5" t="s">
        <v>51</v>
      </c>
      <c r="C136" s="5" t="s">
        <v>228</v>
      </c>
      <c r="D136" s="8" t="str">
        <f>IFERROR(HYPERLINK(_xlfn.XLOOKUP(C136,'[1]CTR PUB MAN'!$BC$2:$BC$500,'[1]CTR PUB MAN'!$D$2:$D$500),_xlfn.XLOOKUP(C136,'[1]CTR PUB MAN'!$BC$2:$BC$500,'[1]CTR PUB MAN'!$D$2:$D$500)),"")</f>
        <v/>
      </c>
      <c r="E136" s="5" t="str">
        <f>_xlfn.XLOOKUP(C136,[2]Classes!$A$2:$A$500,[2]Classes!$D$2:$D$500)</f>
        <v>IRISA</v>
      </c>
      <c r="F136" s="5" t="str">
        <f>_xlfn.XLOOKUP(C136,[2]Classes!$A$2:$A$500,[2]Classes!$C$2:$C$500)</f>
        <v>Centre de Formation et d'Education aux Métiers (CFEM)</v>
      </c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spans="1:22" x14ac:dyDescent="0.25">
      <c r="A137">
        <f t="shared" si="2"/>
        <v>134</v>
      </c>
      <c r="B137" s="5" t="s">
        <v>51</v>
      </c>
      <c r="C137" s="5" t="s">
        <v>229</v>
      </c>
      <c r="D137" s="8" t="str">
        <f>IFERROR(HYPERLINK(_xlfn.XLOOKUP(C137,'[1]CTR PUB MAN'!$BC$2:$BC$500,'[1]CTR PUB MAN'!$D$2:$D$500),_xlfn.XLOOKUP(C137,'[1]CTR PUB MAN'!$BC$2:$BC$500,'[1]CTR PUB MAN'!$D$2:$D$500)),"")</f>
        <v/>
      </c>
      <c r="E137" s="5" t="str">
        <f>_xlfn.XLOOKUP(C137,[2]Classes!$A$2:$A$500,[2]Classes!$D$2:$D$500)</f>
        <v>IRISA</v>
      </c>
      <c r="F137" s="5" t="str">
        <f>_xlfn.XLOOKUP(C137,[2]Classes!$A$2:$A$500,[2]Classes!$C$2:$C$500)</f>
        <v>Centre de Formation et d'Education aux Métiers (CFEM)</v>
      </c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 x14ac:dyDescent="0.25">
      <c r="A138">
        <f t="shared" si="2"/>
        <v>135</v>
      </c>
      <c r="B138" s="5" t="s">
        <v>51</v>
      </c>
      <c r="C138" s="5" t="s">
        <v>230</v>
      </c>
      <c r="D138" s="8" t="str">
        <f>IFERROR(HYPERLINK(_xlfn.XLOOKUP(C138,'[1]CTR PUB MAN'!$BC$2:$BC$500,'[1]CTR PUB MAN'!$D$2:$D$500),_xlfn.XLOOKUP(C138,'[1]CTR PUB MAN'!$BC$2:$BC$500,'[1]CTR PUB MAN'!$D$2:$D$500)),"")</f>
        <v>https://is.gd/yZu4xM</v>
      </c>
      <c r="E138" s="5" t="str">
        <f>_xlfn.XLOOKUP(C138,[2]Classes!$A$2:$A$500,[2]Classes!$D$2:$D$500)</f>
        <v>IRISA</v>
      </c>
      <c r="F138" s="5" t="str">
        <f>_xlfn.XLOOKUP(C138,[2]Classes!$A$2:$A$500,[2]Classes!$C$2:$C$500)</f>
        <v>Centre de Formation et d'Education aux Métiers (CFEM)</v>
      </c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spans="1:22" x14ac:dyDescent="0.25">
      <c r="A139">
        <f t="shared" si="2"/>
        <v>136</v>
      </c>
      <c r="B139" s="5" t="s">
        <v>51</v>
      </c>
      <c r="C139" s="5" t="s">
        <v>231</v>
      </c>
      <c r="D139" s="8" t="str">
        <f>IFERROR(HYPERLINK(_xlfn.XLOOKUP(C139,'[1]CTR PUB MAN'!$BC$2:$BC$500,'[1]CTR PUB MAN'!$D$2:$D$500),_xlfn.XLOOKUP(C139,'[1]CTR PUB MAN'!$BC$2:$BC$500,'[1]CTR PUB MAN'!$D$2:$D$500)),"")</f>
        <v/>
      </c>
      <c r="E139" s="5" t="str">
        <f>_xlfn.XLOOKUP(C139,[2]Classes!$A$2:$A$500,[2]Classes!$D$2:$D$500)</f>
        <v>IRISA</v>
      </c>
      <c r="F139" s="5" t="str">
        <f>_xlfn.XLOOKUP(C139,[2]Classes!$A$2:$A$500,[2]Classes!$C$2:$C$500)</f>
        <v>Centre de Formation et d'Education aux Métiers (CFEM)</v>
      </c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 x14ac:dyDescent="0.25">
      <c r="A140">
        <f t="shared" si="2"/>
        <v>137</v>
      </c>
      <c r="B140" s="5" t="s">
        <v>51</v>
      </c>
      <c r="C140" s="5" t="s">
        <v>232</v>
      </c>
      <c r="D140" s="8" t="str">
        <f>IFERROR(HYPERLINK(_xlfn.XLOOKUP(C140,'[1]CTR PUB MAN'!$BC$2:$BC$500,'[1]CTR PUB MAN'!$D$2:$D$500),_xlfn.XLOOKUP(C140,'[1]CTR PUB MAN'!$BC$2:$BC$500,'[1]CTR PUB MAN'!$D$2:$D$500)),"")</f>
        <v/>
      </c>
      <c r="E140" s="5" t="str">
        <f>_xlfn.XLOOKUP(C140,[2]Classes!$A$2:$A$500,[2]Classes!$D$2:$D$500)</f>
        <v>IRISA</v>
      </c>
      <c r="F140" s="5" t="str">
        <f>_xlfn.XLOOKUP(C140,[2]Classes!$A$2:$A$500,[2]Classes!$C$2:$C$500)</f>
        <v>Centre de Formation et d'Education aux Métiers (CFEM)</v>
      </c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 x14ac:dyDescent="0.25">
      <c r="A141">
        <f t="shared" si="2"/>
        <v>138</v>
      </c>
      <c r="B141" s="5" t="s">
        <v>51</v>
      </c>
      <c r="C141" s="5" t="s">
        <v>233</v>
      </c>
      <c r="D141" s="8" t="str">
        <f>IFERROR(HYPERLINK(_xlfn.XLOOKUP(C141,'[1]CTR PUB MAN'!$BC$2:$BC$500,'[1]CTR PUB MAN'!$D$2:$D$500),_xlfn.XLOOKUP(C141,'[1]CTR PUB MAN'!$BC$2:$BC$500,'[1]CTR PUB MAN'!$D$2:$D$500)),"")</f>
        <v/>
      </c>
      <c r="E141" s="5" t="str">
        <f>_xlfn.XLOOKUP(C141,[2]Classes!$A$2:$A$500,[2]Classes!$D$2:$D$500)</f>
        <v>IRISA</v>
      </c>
      <c r="F141" s="5" t="str">
        <f>_xlfn.XLOOKUP(C141,[2]Classes!$A$2:$A$500,[2]Classes!$C$2:$C$500)</f>
        <v>Centre de Formation et d'Education aux Métiers (CFEM)</v>
      </c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 x14ac:dyDescent="0.25">
      <c r="A142">
        <f t="shared" si="2"/>
        <v>139</v>
      </c>
      <c r="B142" s="5" t="s">
        <v>51</v>
      </c>
      <c r="C142" s="5" t="s">
        <v>234</v>
      </c>
      <c r="D142" s="8" t="str">
        <f>IFERROR(HYPERLINK(_xlfn.XLOOKUP(C142,'[1]CTR PUB MAN'!$BC$2:$BC$500,'[1]CTR PUB MAN'!$D$2:$D$500),_xlfn.XLOOKUP(C142,'[1]CTR PUB MAN'!$BC$2:$BC$500,'[1]CTR PUB MAN'!$D$2:$D$500)),"")</f>
        <v/>
      </c>
      <c r="E142" s="5" t="str">
        <f>_xlfn.XLOOKUP(C142,[2]Classes!$A$2:$A$500,[2]Classes!$D$2:$D$500)</f>
        <v>IRISA</v>
      </c>
      <c r="F142" s="5" t="str">
        <f>_xlfn.XLOOKUP(C142,[2]Classes!$A$2:$A$500,[2]Classes!$C$2:$C$500)</f>
        <v>Centre de Formation et d'Education aux Métiers (CFEM)</v>
      </c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spans="1:22" x14ac:dyDescent="0.25">
      <c r="A143">
        <f t="shared" si="2"/>
        <v>140</v>
      </c>
      <c r="B143" s="5" t="s">
        <v>51</v>
      </c>
      <c r="C143" s="5" t="s">
        <v>235</v>
      </c>
      <c r="D143" s="8" t="str">
        <f>IFERROR(HYPERLINK(_xlfn.XLOOKUP(C143,'[1]CTR PUB MAN'!$BC$2:$BC$500,'[1]CTR PUB MAN'!$D$2:$D$500),_xlfn.XLOOKUP(C143,'[1]CTR PUB MAN'!$BC$2:$BC$500,'[1]CTR PUB MAN'!$D$2:$D$500)),"")</f>
        <v/>
      </c>
      <c r="E143" s="5" t="str">
        <f>_xlfn.XLOOKUP(C143,[2]Classes!$A$2:$A$500,[2]Classes!$D$2:$D$500)</f>
        <v>IRISA</v>
      </c>
      <c r="F143" s="5" t="str">
        <f>_xlfn.XLOOKUP(C143,[2]Classes!$A$2:$A$500,[2]Classes!$C$2:$C$500)</f>
        <v>Centre de Formation et d'Education aux Métiers (CFEM)</v>
      </c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spans="1:22" x14ac:dyDescent="0.25">
      <c r="A144">
        <f t="shared" si="2"/>
        <v>141</v>
      </c>
      <c r="B144" s="5" t="s">
        <v>51</v>
      </c>
      <c r="C144" s="5" t="s">
        <v>236</v>
      </c>
      <c r="D144" s="8" t="str">
        <f>IFERROR(HYPERLINK(_xlfn.XLOOKUP(C144,'[1]CTR PUB MAN'!$BC$2:$BC$500,'[1]CTR PUB MAN'!$D$2:$D$500),_xlfn.XLOOKUP(C144,'[1]CTR PUB MAN'!$BC$2:$BC$500,'[1]CTR PUB MAN'!$D$2:$D$500)),"")</f>
        <v/>
      </c>
      <c r="E144" s="5" t="str">
        <f>_xlfn.XLOOKUP(C144,[2]Classes!$A$2:$A$500,[2]Classes!$D$2:$D$500)</f>
        <v>IRISA</v>
      </c>
      <c r="F144" s="5" t="str">
        <f>_xlfn.XLOOKUP(C144,[2]Classes!$A$2:$A$500,[2]Classes!$C$2:$C$500)</f>
        <v>Centre de Formation et d'Education aux Métiers (CFEM)</v>
      </c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spans="1:22" x14ac:dyDescent="0.25">
      <c r="A145">
        <f t="shared" si="2"/>
        <v>142</v>
      </c>
      <c r="B145" s="5" t="s">
        <v>51</v>
      </c>
      <c r="C145" s="5" t="s">
        <v>237</v>
      </c>
      <c r="D145" s="8" t="str">
        <f>IFERROR(HYPERLINK(_xlfn.XLOOKUP(C145,'[1]CTR PUB MAN'!$BC$2:$BC$500,'[1]CTR PUB MAN'!$D$2:$D$500),_xlfn.XLOOKUP(C145,'[1]CTR PUB MAN'!$BC$2:$BC$500,'[1]CTR PUB MAN'!$D$2:$D$500)),"")</f>
        <v/>
      </c>
      <c r="E145" s="5" t="str">
        <f>_xlfn.XLOOKUP(C145,[2]Classes!$A$2:$A$500,[2]Classes!$D$2:$D$500)</f>
        <v>IRISA</v>
      </c>
      <c r="F145" s="5" t="str">
        <f>_xlfn.XLOOKUP(C145,[2]Classes!$A$2:$A$500,[2]Classes!$C$2:$C$500)</f>
        <v>Centre de Formation et d'Education aux Métiers (CFEM)</v>
      </c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spans="1:22" x14ac:dyDescent="0.25">
      <c r="A146">
        <f t="shared" si="2"/>
        <v>143</v>
      </c>
      <c r="B146" s="5" t="s">
        <v>52</v>
      </c>
      <c r="C146" s="5" t="s">
        <v>238</v>
      </c>
      <c r="D146" s="8" t="str">
        <f>IFERROR(HYPERLINK(_xlfn.XLOOKUP(C146,'[1]CTR PUB MAN'!$BC$2:$BC$500,'[1]CTR PUB MAN'!$D$2:$D$500),_xlfn.XLOOKUP(C146,'[1]CTR PUB MAN'!$BC$2:$BC$500,'[1]CTR PUB MAN'!$D$2:$D$500)),"")</f>
        <v>https://is.gd/mX9e3k</v>
      </c>
      <c r="E146" s="5" t="str">
        <f>_xlfn.XLOOKUP(C146,[2]Classes!$A$2:$A$500,[2]Classes!$D$2:$D$500)</f>
        <v>OMEGA MINNING</v>
      </c>
      <c r="F146" s="5" t="str">
        <f>_xlfn.XLOOKUP(C146,[2]Classes!$A$2:$A$500,[2]Classes!$C$2:$C$500)</f>
        <v>Mucotech Sarl</v>
      </c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spans="1:22" x14ac:dyDescent="0.25">
      <c r="A147">
        <f t="shared" si="2"/>
        <v>144</v>
      </c>
      <c r="B147" s="5" t="s">
        <v>53</v>
      </c>
      <c r="C147" s="5" t="s">
        <v>239</v>
      </c>
      <c r="D147" s="8" t="str">
        <f>IFERROR(HYPERLINK(_xlfn.XLOOKUP(C147,'[1]CTR PUB MAN'!$BC$2:$BC$500,'[1]CTR PUB MAN'!$D$2:$D$500),_xlfn.XLOOKUP(C147,'[1]CTR PUB MAN'!$BC$2:$BC$500,'[1]CTR PUB MAN'!$D$2:$D$500)),"")</f>
        <v/>
      </c>
      <c r="E147" s="5" t="str">
        <f>_xlfn.XLOOKUP(C147,[2]Classes!$A$2:$A$500,[2]Classes!$D$2:$D$500)</f>
        <v>GIC DES PRODUCTEURS AGROPASTORAUX DE BITYLIB (EVANG-ZACK)</v>
      </c>
      <c r="F147" s="5" t="str">
        <f>_xlfn.XLOOKUP(C147,[2]Classes!$A$2:$A$500,[2]Classes!$C$2:$C$500)</f>
        <v>CRA D'EBOLOWA</v>
      </c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spans="1:22" x14ac:dyDescent="0.25">
      <c r="A148">
        <f t="shared" si="2"/>
        <v>145</v>
      </c>
      <c r="B148" s="5" t="s">
        <v>54</v>
      </c>
      <c r="C148" s="5" t="s">
        <v>240</v>
      </c>
      <c r="D148" s="8" t="str">
        <f>IFERROR(HYPERLINK(_xlfn.XLOOKUP(C148,'[1]CTR PUB MAN'!$BC$2:$BC$500,'[1]CTR PUB MAN'!$D$2:$D$500),_xlfn.XLOOKUP(C148,'[1]CTR PUB MAN'!$BC$2:$BC$500,'[1]CTR PUB MAN'!$D$2:$D$500)),"")</f>
        <v/>
      </c>
      <c r="E148" s="5" t="str">
        <f>_xlfn.XLOOKUP(C148,[2]Classes!$A$2:$A$500,[2]Classes!$D$2:$D$500)</f>
        <v>SCOOPS DES AGRO-ELEVEURS DE L'EXTREME-NORD</v>
      </c>
      <c r="F148" s="5" t="str">
        <f>_xlfn.XLOOKUP(C148,[2]Classes!$A$2:$A$500,[2]Classes!$C$2:$C$500)</f>
        <v>Centre de Formation et d'Education aux Métiers (CFEM)</v>
      </c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spans="1:22" x14ac:dyDescent="0.25">
      <c r="A149">
        <f t="shared" si="2"/>
        <v>146</v>
      </c>
      <c r="B149" s="5" t="s">
        <v>54</v>
      </c>
      <c r="C149" s="5" t="s">
        <v>241</v>
      </c>
      <c r="D149" s="8" t="str">
        <f>IFERROR(HYPERLINK(_xlfn.XLOOKUP(C149,'[1]CTR PUB MAN'!$BC$2:$BC$500,'[1]CTR PUB MAN'!$D$2:$D$500),_xlfn.XLOOKUP(C149,'[1]CTR PUB MAN'!$BC$2:$BC$500,'[1]CTR PUB MAN'!$D$2:$D$500)),"")</f>
        <v/>
      </c>
      <c r="E149" s="5" t="str">
        <f>_xlfn.XLOOKUP(C149,[2]Classes!$A$2:$A$500,[2]Classes!$D$2:$D$500)</f>
        <v>SCOOPS DES AGRO-ELEVEURS DE L'EXTREME-NORD</v>
      </c>
      <c r="F149" s="5" t="str">
        <f>_xlfn.XLOOKUP(C149,[2]Classes!$A$2:$A$500,[2]Classes!$C$2:$C$500)</f>
        <v>Centre de Formation et d'Education aux Métiers (CFEM)</v>
      </c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spans="1:22" x14ac:dyDescent="0.25">
      <c r="A150">
        <f t="shared" si="2"/>
        <v>147</v>
      </c>
      <c r="B150" s="5" t="s">
        <v>54</v>
      </c>
      <c r="C150" s="5" t="s">
        <v>242</v>
      </c>
      <c r="D150" s="8" t="str">
        <f>IFERROR(HYPERLINK(_xlfn.XLOOKUP(C150,'[1]CTR PUB MAN'!$BC$2:$BC$500,'[1]CTR PUB MAN'!$D$2:$D$500),_xlfn.XLOOKUP(C150,'[1]CTR PUB MAN'!$BC$2:$BC$500,'[1]CTR PUB MAN'!$D$2:$D$500)),"")</f>
        <v/>
      </c>
      <c r="E150" s="5" t="str">
        <f>_xlfn.XLOOKUP(C150,[2]Classes!$A$2:$A$500,[2]Classes!$D$2:$D$500)</f>
        <v>SCOOPS DES AGRO-ELEVEURS DE L'EXTREME-NORD</v>
      </c>
      <c r="F150" s="5" t="str">
        <f>_xlfn.XLOOKUP(C150,[2]Classes!$A$2:$A$500,[2]Classes!$C$2:$C$500)</f>
        <v>Centre de Formation et d'Education aux Métiers (CFEM)</v>
      </c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 x14ac:dyDescent="0.25">
      <c r="A151">
        <f t="shared" si="2"/>
        <v>148</v>
      </c>
      <c r="B151" s="5" t="s">
        <v>54</v>
      </c>
      <c r="C151" s="5" t="s">
        <v>243</v>
      </c>
      <c r="D151" s="8" t="str">
        <f>IFERROR(HYPERLINK(_xlfn.XLOOKUP(C151,'[1]CTR PUB MAN'!$BC$2:$BC$500,'[1]CTR PUB MAN'!$D$2:$D$500),_xlfn.XLOOKUP(C151,'[1]CTR PUB MAN'!$BC$2:$BC$500,'[1]CTR PUB MAN'!$D$2:$D$500)),"")</f>
        <v/>
      </c>
      <c r="E151" s="5" t="str">
        <f>_xlfn.XLOOKUP(C151,[2]Classes!$A$2:$A$500,[2]Classes!$D$2:$D$500)</f>
        <v>SCOOPS DES AGRO-ELEVEURS DE L'EXTREME-NORD</v>
      </c>
      <c r="F151" s="5" t="str">
        <f>_xlfn.XLOOKUP(C151,[2]Classes!$A$2:$A$500,[2]Classes!$C$2:$C$500)</f>
        <v>Centre de Formation et d'Education aux Métiers (CFEM)</v>
      </c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 x14ac:dyDescent="0.25">
      <c r="A152">
        <f t="shared" si="2"/>
        <v>149</v>
      </c>
      <c r="B152" s="5" t="s">
        <v>55</v>
      </c>
      <c r="C152" s="5" t="s">
        <v>244</v>
      </c>
      <c r="D152" s="8" t="str">
        <f>IFERROR(HYPERLINK(_xlfn.XLOOKUP(C152,'[1]CTR PUB MAN'!$BC$2:$BC$500,'[1]CTR PUB MAN'!$D$2:$D$500),_xlfn.XLOOKUP(C152,'[1]CTR PUB MAN'!$BC$2:$BC$500,'[1]CTR PUB MAN'!$D$2:$D$500)),"")</f>
        <v>https://is.gd/nptHpf</v>
      </c>
      <c r="E152" s="5" t="str">
        <f>_xlfn.XLOOKUP(C152,[2]Classes!$A$2:$A$500,[2]Classes!$D$2:$D$500)</f>
        <v>GLOBAL ENERGY SOLUTIONS</v>
      </c>
      <c r="F152" s="5" t="str">
        <f>_xlfn.XLOOKUP(C152,[2]Classes!$A$2:$A$500,[2]Classes!$C$2:$C$500)</f>
        <v>CFP MRI de Pitoa (pour plomberie &amp; climatisation)</v>
      </c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 x14ac:dyDescent="0.25">
      <c r="A153">
        <f t="shared" si="2"/>
        <v>150</v>
      </c>
      <c r="B153" s="5" t="s">
        <v>56</v>
      </c>
      <c r="C153" s="5" t="s">
        <v>245</v>
      </c>
      <c r="D153" s="8" t="str">
        <f>IFERROR(HYPERLINK(_xlfn.XLOOKUP(C153,'[1]CTR PUB MAN'!$BC$2:$BC$500,'[1]CTR PUB MAN'!$D$2:$D$500),_xlfn.XLOOKUP(C153,'[1]CTR PUB MAN'!$BC$2:$BC$500,'[1]CTR PUB MAN'!$D$2:$D$500)),"")</f>
        <v>https://is.gd/9gYbx2</v>
      </c>
      <c r="E153" s="5" t="str">
        <f>_xlfn.XLOOKUP(C153,[2]Classes!$A$2:$A$500,[2]Classes!$D$2:$D$500)</f>
        <v>GROUPEMENT DES FEMMES D'AFFAIRES DU CAMEROUN (GFAC)</v>
      </c>
      <c r="F153" s="5" t="str">
        <f>_xlfn.XLOOKUP(C153,[2]Classes!$A$2:$A$500,[2]Classes!$C$2:$C$500)</f>
        <v>BUSINESS PERFORMANCE</v>
      </c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 x14ac:dyDescent="0.25">
      <c r="A154">
        <f t="shared" si="2"/>
        <v>151</v>
      </c>
      <c r="B154" s="5" t="s">
        <v>56</v>
      </c>
      <c r="C154" s="5" t="s">
        <v>246</v>
      </c>
      <c r="D154" s="8" t="str">
        <f>IFERROR(HYPERLINK(_xlfn.XLOOKUP(C154,'[1]CTR PUB MAN'!$BC$2:$BC$500,'[1]CTR PUB MAN'!$D$2:$D$500),_xlfn.XLOOKUP(C154,'[1]CTR PUB MAN'!$BC$2:$BC$500,'[1]CTR PUB MAN'!$D$2:$D$500)),"")</f>
        <v>https://is.gd/GAXI9J</v>
      </c>
      <c r="E154" s="5" t="str">
        <f>_xlfn.XLOOKUP(C154,[2]Classes!$A$2:$A$500,[2]Classes!$D$2:$D$500)</f>
        <v>GROUPEMENT DES FEMMES D'AFFAIRES DU CAMEROUN (GFAC)</v>
      </c>
      <c r="F154" s="5" t="str">
        <f>_xlfn.XLOOKUP(C154,[2]Classes!$A$2:$A$500,[2]Classes!$C$2:$C$500)</f>
        <v>BUSINESS PERFORMANCE</v>
      </c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spans="1:22" x14ac:dyDescent="0.25">
      <c r="A155">
        <f t="shared" si="2"/>
        <v>152</v>
      </c>
      <c r="B155" s="5" t="s">
        <v>56</v>
      </c>
      <c r="C155" s="5" t="s">
        <v>247</v>
      </c>
      <c r="D155" s="8" t="str">
        <f>IFERROR(HYPERLINK(_xlfn.XLOOKUP(C155,'[1]CTR PUB MAN'!$BC$2:$BC$500,'[1]CTR PUB MAN'!$D$2:$D$500),_xlfn.XLOOKUP(C155,'[1]CTR PUB MAN'!$BC$2:$BC$500,'[1]CTR PUB MAN'!$D$2:$D$500)),"")</f>
        <v>https://is.gd/ro8K89</v>
      </c>
      <c r="E155" s="5" t="str">
        <f>_xlfn.XLOOKUP(C155,[2]Classes!$A$2:$A$500,[2]Classes!$D$2:$D$500)</f>
        <v>GROUPEMENT DES FEMMES D'AFFAIRES DU CAMEROUN (GFAC)</v>
      </c>
      <c r="F155" s="5" t="str">
        <f>_xlfn.XLOOKUP(C155,[2]Classes!$A$2:$A$500,[2]Classes!$C$2:$C$500)</f>
        <v>BUSINESS PERFORMANCE</v>
      </c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spans="1:22" x14ac:dyDescent="0.25">
      <c r="A156">
        <f t="shared" si="2"/>
        <v>153</v>
      </c>
      <c r="B156" s="5" t="s">
        <v>56</v>
      </c>
      <c r="C156" s="5" t="s">
        <v>248</v>
      </c>
      <c r="D156" s="8" t="str">
        <f>IFERROR(HYPERLINK(_xlfn.XLOOKUP(C156,'[1]CTR PUB MAN'!$BC$2:$BC$500,'[1]CTR PUB MAN'!$D$2:$D$500),_xlfn.XLOOKUP(C156,'[1]CTR PUB MAN'!$BC$2:$BC$500,'[1]CTR PUB MAN'!$D$2:$D$500)),"")</f>
        <v/>
      </c>
      <c r="E156" s="5" t="str">
        <f>_xlfn.XLOOKUP(C156,[2]Classes!$A$2:$A$500,[2]Classes!$D$2:$D$500)</f>
        <v>GROUPEMENT DES FEMMES D'AFFAIRES DU CAMEROUN (GFAC)</v>
      </c>
      <c r="F156" s="5" t="str">
        <f>_xlfn.XLOOKUP(C156,[2]Classes!$A$2:$A$500,[2]Classes!$C$2:$C$500)</f>
        <v>BUSINESS PERFORMANCE</v>
      </c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spans="1:22" x14ac:dyDescent="0.25">
      <c r="A157">
        <f t="shared" si="2"/>
        <v>154</v>
      </c>
      <c r="B157" s="5" t="s">
        <v>57</v>
      </c>
      <c r="C157" s="5" t="s">
        <v>249</v>
      </c>
      <c r="D157" s="8" t="str">
        <f>IFERROR(HYPERLINK(_xlfn.XLOOKUP(C157,'[1]CTR PUB MAN'!$BC$2:$BC$500,'[1]CTR PUB MAN'!$D$2:$D$500),_xlfn.XLOOKUP(C157,'[1]CTR PUB MAN'!$BC$2:$BC$500,'[1]CTR PUB MAN'!$D$2:$D$500)),"")</f>
        <v>https://is.gd/OcF3uC</v>
      </c>
      <c r="E157" s="5" t="str">
        <f>_xlfn.XLOOKUP(C157,[2]Classes!$A$2:$A$500,[2]Classes!$D$2:$D$500)</f>
        <v>GIC DES PRODUCTEURS D'HUILE DE PALME DE MVANGA</v>
      </c>
      <c r="F157" s="5" t="str">
        <f>_xlfn.XLOOKUP(C157,[2]Classes!$A$2:$A$500,[2]Classes!$C$2:$C$500)</f>
        <v>ONG PAARDIC</v>
      </c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spans="1:22" x14ac:dyDescent="0.25">
      <c r="A158">
        <f t="shared" si="2"/>
        <v>155</v>
      </c>
      <c r="B158" s="5" t="s">
        <v>58</v>
      </c>
      <c r="C158" s="5" t="s">
        <v>250</v>
      </c>
      <c r="D158" s="8" t="str">
        <f>IFERROR(HYPERLINK(_xlfn.XLOOKUP(C158,'[1]CTR PUB MAN'!$BC$2:$BC$500,'[1]CTR PUB MAN'!$D$2:$D$500),_xlfn.XLOOKUP(C158,'[1]CTR PUB MAN'!$BC$2:$BC$500,'[1]CTR PUB MAN'!$D$2:$D$500)),"")</f>
        <v/>
      </c>
      <c r="E158" s="5" t="str">
        <f>_xlfn.XLOOKUP(C158,[2]Classes!$A$2:$A$500,[2]Classes!$D$2:$D$500)</f>
        <v>ETS LE NASSARA</v>
      </c>
      <c r="F158" s="5" t="str">
        <f>_xlfn.XLOOKUP(C158,[2]Classes!$A$2:$A$500,[2]Classes!$C$2:$C$500)</f>
        <v>Centre de Formation et d'Education aux Métiers (CFEM)</v>
      </c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 x14ac:dyDescent="0.25">
      <c r="A159">
        <f t="shared" si="2"/>
        <v>156</v>
      </c>
      <c r="B159" s="5" t="s">
        <v>58</v>
      </c>
      <c r="C159" s="5" t="s">
        <v>251</v>
      </c>
      <c r="D159" s="8" t="str">
        <f>IFERROR(HYPERLINK(_xlfn.XLOOKUP(C159,'[1]CTR PUB MAN'!$BC$2:$BC$500,'[1]CTR PUB MAN'!$D$2:$D$500),_xlfn.XLOOKUP(C159,'[1]CTR PUB MAN'!$BC$2:$BC$500,'[1]CTR PUB MAN'!$D$2:$D$500)),"")</f>
        <v/>
      </c>
      <c r="E159" s="5" t="str">
        <f>_xlfn.XLOOKUP(C159,[2]Classes!$A$2:$A$500,[2]Classes!$D$2:$D$500)</f>
        <v>ETS LE NASSARA</v>
      </c>
      <c r="F159" s="5" t="str">
        <f>_xlfn.XLOOKUP(C159,[2]Classes!$A$2:$A$500,[2]Classes!$C$2:$C$500)</f>
        <v>Centre de Formation et d'Education aux Métiers (CFEM)</v>
      </c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spans="1:22" x14ac:dyDescent="0.25">
      <c r="A160">
        <f t="shared" si="2"/>
        <v>157</v>
      </c>
      <c r="B160" s="5" t="s">
        <v>58</v>
      </c>
      <c r="C160" s="5" t="s">
        <v>252</v>
      </c>
      <c r="D160" s="8" t="str">
        <f>IFERROR(HYPERLINK(_xlfn.XLOOKUP(C160,'[1]CTR PUB MAN'!$BC$2:$BC$500,'[1]CTR PUB MAN'!$D$2:$D$500),_xlfn.XLOOKUP(C160,'[1]CTR PUB MAN'!$BC$2:$BC$500,'[1]CTR PUB MAN'!$D$2:$D$500)),"")</f>
        <v/>
      </c>
      <c r="E160" s="5" t="str">
        <f>_xlfn.XLOOKUP(C160,[2]Classes!$A$2:$A$500,[2]Classes!$D$2:$D$500)</f>
        <v>ETS LE NASSARA</v>
      </c>
      <c r="F160" s="5" t="str">
        <f>_xlfn.XLOOKUP(C160,[2]Classes!$A$2:$A$500,[2]Classes!$C$2:$C$500)</f>
        <v>Centre de Formation et d'Education aux Métiers (CFEM)</v>
      </c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 x14ac:dyDescent="0.25">
      <c r="A161">
        <f t="shared" si="2"/>
        <v>158</v>
      </c>
      <c r="B161" s="5" t="s">
        <v>59</v>
      </c>
      <c r="C161" s="5" t="s">
        <v>253</v>
      </c>
      <c r="D161" s="8" t="str">
        <f>IFERROR(HYPERLINK(_xlfn.XLOOKUP(C161,'[1]CTR PUB MAN'!$BC$2:$BC$500,'[1]CTR PUB MAN'!$D$2:$D$500),_xlfn.XLOOKUP(C161,'[1]CTR PUB MAN'!$BC$2:$BC$500,'[1]CTR PUB MAN'!$D$2:$D$500)),"")</f>
        <v/>
      </c>
      <c r="E161" s="5" t="str">
        <f>_xlfn.XLOOKUP(C161,[2]Classes!$A$2:$A$500,[2]Classes!$D$2:$D$500)</f>
        <v>PLATEFORME NATIONALE DES ORGANISATIONS PROFESSIONNELLES AGRO-SYLVO-PASTORALES ET HALIEUTIQUES DU CAMEROUN (PLANOPAC)</v>
      </c>
      <c r="F161" s="5" t="str">
        <f>_xlfn.XLOOKUP(C161,[2]Classes!$A$2:$A$500,[2]Classes!$C$2:$C$500)</f>
        <v>PROFALCAM</v>
      </c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 x14ac:dyDescent="0.25">
      <c r="A162">
        <f t="shared" si="2"/>
        <v>159</v>
      </c>
      <c r="B162" s="5" t="s">
        <v>59</v>
      </c>
      <c r="C162" s="5" t="s">
        <v>254</v>
      </c>
      <c r="D162" s="8" t="str">
        <f>IFERROR(HYPERLINK(_xlfn.XLOOKUP(C162,'[1]CTR PUB MAN'!$BC$2:$BC$500,'[1]CTR PUB MAN'!$D$2:$D$500),_xlfn.XLOOKUP(C162,'[1]CTR PUB MAN'!$BC$2:$BC$500,'[1]CTR PUB MAN'!$D$2:$D$500)),"")</f>
        <v/>
      </c>
      <c r="E162" s="5" t="str">
        <f>_xlfn.XLOOKUP(C162,[2]Classes!$A$2:$A$500,[2]Classes!$D$2:$D$500)</f>
        <v>PLATEFORME NATIONALE DES ORGANISATIONS PROFESSIONNELLES AGRO-SYLVO-PASTORALES ET HALIEUTIQUES DU CAMEROUN (PLANOPAC)</v>
      </c>
      <c r="F162" s="5" t="str">
        <f>_xlfn.XLOOKUP(C162,[2]Classes!$A$2:$A$500,[2]Classes!$C$2:$C$500)</f>
        <v>PROFALCAM</v>
      </c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spans="1:22" x14ac:dyDescent="0.25">
      <c r="A163">
        <f t="shared" si="2"/>
        <v>160</v>
      </c>
      <c r="B163" s="5" t="s">
        <v>59</v>
      </c>
      <c r="C163" s="5" t="s">
        <v>255</v>
      </c>
      <c r="D163" s="8" t="str">
        <f>IFERROR(HYPERLINK(_xlfn.XLOOKUP(C163,'[1]CTR PUB MAN'!$BC$2:$BC$500,'[1]CTR PUB MAN'!$D$2:$D$500),_xlfn.XLOOKUP(C163,'[1]CTR PUB MAN'!$BC$2:$BC$500,'[1]CTR PUB MAN'!$D$2:$D$500)),"")</f>
        <v/>
      </c>
      <c r="E163" s="5" t="str">
        <f>_xlfn.XLOOKUP(C163,[2]Classes!$A$2:$A$500,[2]Classes!$D$2:$D$500)</f>
        <v>PLATEFORME NATIONALE DES ORGANISATIONS PROFESSIONNELLES AGRO-SYLVO-PASTORALES ET HALIEUTIQUES DU CAMEROUN (PLANOPAC)</v>
      </c>
      <c r="F163" s="5" t="str">
        <f>_xlfn.XLOOKUP(C163,[2]Classes!$A$2:$A$500,[2]Classes!$C$2:$C$500)</f>
        <v>PROFALCAM</v>
      </c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spans="1:22" x14ac:dyDescent="0.25">
      <c r="A164">
        <f t="shared" si="2"/>
        <v>161</v>
      </c>
      <c r="B164" s="5" t="s">
        <v>59</v>
      </c>
      <c r="C164" s="5" t="s">
        <v>256</v>
      </c>
      <c r="D164" s="8" t="str">
        <f>IFERROR(HYPERLINK(_xlfn.XLOOKUP(C164,'[1]CTR PUB MAN'!$BC$2:$BC$500,'[1]CTR PUB MAN'!$D$2:$D$500),_xlfn.XLOOKUP(C164,'[1]CTR PUB MAN'!$BC$2:$BC$500,'[1]CTR PUB MAN'!$D$2:$D$500)),"")</f>
        <v/>
      </c>
      <c r="E164" s="5" t="str">
        <f>_xlfn.XLOOKUP(C164,[2]Classes!$A$2:$A$500,[2]Classes!$D$2:$D$500)</f>
        <v>PLATEFORME NATIONALE DES ORGANISATIONS PROFESSIONNELLES AGRO-SYLVO-PASTORALES ET HALIEUTIQUES DU CAMEROUN (PLANOPAC)</v>
      </c>
      <c r="F164" s="5" t="str">
        <f>_xlfn.XLOOKUP(C164,[2]Classes!$A$2:$A$500,[2]Classes!$C$2:$C$500)</f>
        <v>PROFALCAM</v>
      </c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 x14ac:dyDescent="0.25">
      <c r="A165">
        <f t="shared" si="2"/>
        <v>162</v>
      </c>
      <c r="B165" s="5" t="s">
        <v>59</v>
      </c>
      <c r="C165" s="5" t="s">
        <v>257</v>
      </c>
      <c r="D165" s="8" t="str">
        <f>IFERROR(HYPERLINK(_xlfn.XLOOKUP(C165,'[1]CTR PUB MAN'!$BC$2:$BC$500,'[1]CTR PUB MAN'!$D$2:$D$500),_xlfn.XLOOKUP(C165,'[1]CTR PUB MAN'!$BC$2:$BC$500,'[1]CTR PUB MAN'!$D$2:$D$500)),"")</f>
        <v/>
      </c>
      <c r="E165" s="5" t="str">
        <f>_xlfn.XLOOKUP(C165,[2]Classes!$A$2:$A$500,[2]Classes!$D$2:$D$500)</f>
        <v>PLATEFORME NATIONALE DES ORGANISATIONS PROFESSIONNELLES AGRO-SYLVO-PASTORALES ET HALIEUTIQUES DU CAMEROUN (PLANOPAC)</v>
      </c>
      <c r="F165" s="5" t="str">
        <f>_xlfn.XLOOKUP(C165,[2]Classes!$A$2:$A$500,[2]Classes!$C$2:$C$500)</f>
        <v>PROFALCAM</v>
      </c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spans="1:22" x14ac:dyDescent="0.25">
      <c r="A166">
        <f t="shared" si="2"/>
        <v>163</v>
      </c>
      <c r="B166" s="5" t="s">
        <v>59</v>
      </c>
      <c r="C166" s="5" t="s">
        <v>258</v>
      </c>
      <c r="D166" s="8" t="str">
        <f>IFERROR(HYPERLINK(_xlfn.XLOOKUP(C166,'[1]CTR PUB MAN'!$BC$2:$BC$500,'[1]CTR PUB MAN'!$D$2:$D$500),_xlfn.XLOOKUP(C166,'[1]CTR PUB MAN'!$BC$2:$BC$500,'[1]CTR PUB MAN'!$D$2:$D$500)),"")</f>
        <v/>
      </c>
      <c r="E166" s="5" t="str">
        <f>_xlfn.XLOOKUP(C166,[2]Classes!$A$2:$A$500,[2]Classes!$D$2:$D$500)</f>
        <v>PLATEFORME NATIONALE DES ORGANISATIONS PROFESSIONNELLES AGRO-SYLVO-PASTORALES ET HALIEUTIQUES DU CAMEROUN (PLANOPAC)</v>
      </c>
      <c r="F166" s="5" t="str">
        <f>_xlfn.XLOOKUP(C166,[2]Classes!$A$2:$A$500,[2]Classes!$C$2:$C$500)</f>
        <v>PROFALCAM</v>
      </c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spans="1:22" x14ac:dyDescent="0.25">
      <c r="A167">
        <f t="shared" si="2"/>
        <v>164</v>
      </c>
      <c r="B167" s="5" t="s">
        <v>59</v>
      </c>
      <c r="C167" s="5" t="s">
        <v>259</v>
      </c>
      <c r="D167" s="8" t="str">
        <f>IFERROR(HYPERLINK(_xlfn.XLOOKUP(C167,'[1]CTR PUB MAN'!$BC$2:$BC$500,'[1]CTR PUB MAN'!$D$2:$D$500),_xlfn.XLOOKUP(C167,'[1]CTR PUB MAN'!$BC$2:$BC$500,'[1]CTR PUB MAN'!$D$2:$D$500)),"")</f>
        <v/>
      </c>
      <c r="E167" s="5" t="str">
        <f>_xlfn.XLOOKUP(C167,[2]Classes!$A$2:$A$500,[2]Classes!$D$2:$D$500)</f>
        <v>PLATEFORME NATIONALE DES ORGANISATIONS PROFESSIONNELLES AGRO-SYLVO-PASTORALES ET HALIEUTIQUES DU CAMEROUN (PLANOPAC)</v>
      </c>
      <c r="F167" s="5" t="str">
        <f>_xlfn.XLOOKUP(C167,[2]Classes!$A$2:$A$500,[2]Classes!$C$2:$C$500)</f>
        <v>PROFALCAM</v>
      </c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spans="1:22" x14ac:dyDescent="0.25">
      <c r="A168">
        <f t="shared" si="2"/>
        <v>165</v>
      </c>
      <c r="B168" s="5" t="s">
        <v>59</v>
      </c>
      <c r="C168" s="5" t="s">
        <v>260</v>
      </c>
      <c r="D168" s="8" t="str">
        <f>IFERROR(HYPERLINK(_xlfn.XLOOKUP(C168,'[1]CTR PUB MAN'!$BC$2:$BC$500,'[1]CTR PUB MAN'!$D$2:$D$500),_xlfn.XLOOKUP(C168,'[1]CTR PUB MAN'!$BC$2:$BC$500,'[1]CTR PUB MAN'!$D$2:$D$500)),"")</f>
        <v/>
      </c>
      <c r="E168" s="5" t="str">
        <f>_xlfn.XLOOKUP(C168,[2]Classes!$A$2:$A$500,[2]Classes!$D$2:$D$500)</f>
        <v>PLATEFORME NATIONALE DES ORGANISATIONS PROFESSIONNELLES AGRO-SYLVO-PASTORALES ET HALIEUTIQUES DU CAMEROUN (PLANOPAC)</v>
      </c>
      <c r="F168" s="5" t="str">
        <f>_xlfn.XLOOKUP(C168,[2]Classes!$A$2:$A$500,[2]Classes!$C$2:$C$500)</f>
        <v>PROFALCAM</v>
      </c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spans="1:22" x14ac:dyDescent="0.25">
      <c r="A169">
        <f t="shared" si="2"/>
        <v>166</v>
      </c>
      <c r="B169" s="5" t="s">
        <v>59</v>
      </c>
      <c r="C169" s="5" t="s">
        <v>261</v>
      </c>
      <c r="D169" s="8" t="str">
        <f>IFERROR(HYPERLINK(_xlfn.XLOOKUP(C169,'[1]CTR PUB MAN'!$BC$2:$BC$500,'[1]CTR PUB MAN'!$D$2:$D$500),_xlfn.XLOOKUP(C169,'[1]CTR PUB MAN'!$BC$2:$BC$500,'[1]CTR PUB MAN'!$D$2:$D$500)),"")</f>
        <v/>
      </c>
      <c r="E169" s="5" t="str">
        <f>_xlfn.XLOOKUP(C169,[2]Classes!$A$2:$A$500,[2]Classes!$D$2:$D$500)</f>
        <v>PLATEFORME NATIONALE DES ORGANISATIONS PROFESSIONNELLES AGRO-SYLVO-PASTORALES ET HALIEUTIQUES DU CAMEROUN (PLANOPAC)</v>
      </c>
      <c r="F169" s="5" t="str">
        <f>_xlfn.XLOOKUP(C169,[2]Classes!$A$2:$A$500,[2]Classes!$C$2:$C$500)</f>
        <v>PROFALCAM</v>
      </c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spans="1:22" x14ac:dyDescent="0.25">
      <c r="A170">
        <f t="shared" si="2"/>
        <v>167</v>
      </c>
      <c r="B170" s="5" t="s">
        <v>59</v>
      </c>
      <c r="C170" s="5" t="s">
        <v>262</v>
      </c>
      <c r="D170" s="8" t="str">
        <f>IFERROR(HYPERLINK(_xlfn.XLOOKUP(C170,'[1]CTR PUB MAN'!$BC$2:$BC$500,'[1]CTR PUB MAN'!$D$2:$D$500),_xlfn.XLOOKUP(C170,'[1]CTR PUB MAN'!$BC$2:$BC$500,'[1]CTR PUB MAN'!$D$2:$D$500)),"")</f>
        <v/>
      </c>
      <c r="E170" s="5" t="str">
        <f>_xlfn.XLOOKUP(C170,[2]Classes!$A$2:$A$500,[2]Classes!$D$2:$D$500)</f>
        <v>PLATEFORME NATIONALE DES ORGANISATIONS PROFESSIONNELLES AGRO-SYLVO-PASTORALES ET HALIEUTIQUES DU CAMEROUN (PLANOPAC)</v>
      </c>
      <c r="F170" s="5" t="str">
        <f>_xlfn.XLOOKUP(C170,[2]Classes!$A$2:$A$500,[2]Classes!$C$2:$C$500)</f>
        <v>PROFALCAM</v>
      </c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spans="1:22" x14ac:dyDescent="0.25">
      <c r="A171">
        <f t="shared" si="2"/>
        <v>168</v>
      </c>
      <c r="B171" s="5" t="s">
        <v>60</v>
      </c>
      <c r="C171" s="5" t="s">
        <v>263</v>
      </c>
      <c r="D171" s="8" t="str">
        <f>IFERROR(HYPERLINK(_xlfn.XLOOKUP(C171,'[1]CTR PUB MAN'!$BC$2:$BC$500,'[1]CTR PUB MAN'!$D$2:$D$500),_xlfn.XLOOKUP(C171,'[1]CTR PUB MAN'!$BC$2:$BC$500,'[1]CTR PUB MAN'!$D$2:$D$500)),"")</f>
        <v/>
      </c>
      <c r="E171" s="5" t="str">
        <f>_xlfn.XLOOKUP(C171,[2]Classes!$A$2:$A$500,[2]Classes!$D$2:$D$500)</f>
        <v>PALMOIL PRODUCERS SIMPLIFIED COOPERATIVE SOCIETY</v>
      </c>
      <c r="F171" s="5" t="str">
        <f>_xlfn.XLOOKUP(C171,[2]Classes!$A$2:$A$500,[2]Classes!$C$2:$C$500)</f>
        <v>UPECA</v>
      </c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spans="1:22" x14ac:dyDescent="0.25">
      <c r="A172">
        <f t="shared" si="2"/>
        <v>169</v>
      </c>
      <c r="B172" s="5" t="s">
        <v>61</v>
      </c>
      <c r="C172" s="5" t="s">
        <v>264</v>
      </c>
      <c r="D172" s="8" t="str">
        <f>IFERROR(HYPERLINK(_xlfn.XLOOKUP(C172,'[1]CTR PUB MAN'!$BC$2:$BC$500,'[1]CTR PUB MAN'!$D$2:$D$500),_xlfn.XLOOKUP(C172,'[1]CTR PUB MAN'!$BC$2:$BC$500,'[1]CTR PUB MAN'!$D$2:$D$500)),"")</f>
        <v>https://is.gd/mS5hDv</v>
      </c>
      <c r="E172" s="5" t="str">
        <f>_xlfn.XLOOKUP(C172,[2]Classes!$A$2:$A$500,[2]Classes!$D$2:$D$500)</f>
        <v>GIC FEMMES LEADERS</v>
      </c>
      <c r="F172" s="5" t="str">
        <f>_xlfn.XLOOKUP(C172,[2]Classes!$A$2:$A$500,[2]Classes!$C$2:$C$500)</f>
        <v>CABINET VETERINAIRE MBIAKOP</v>
      </c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spans="1:22" x14ac:dyDescent="0.25">
      <c r="A173">
        <f t="shared" si="2"/>
        <v>170</v>
      </c>
      <c r="B173" s="5" t="s">
        <v>62</v>
      </c>
      <c r="C173" s="5" t="s">
        <v>265</v>
      </c>
      <c r="D173" s="8" t="str">
        <f>IFERROR(HYPERLINK(_xlfn.XLOOKUP(C173,'[1]CTR PUB MAN'!$BC$2:$BC$500,'[1]CTR PUB MAN'!$D$2:$D$500),_xlfn.XLOOKUP(C173,'[1]CTR PUB MAN'!$BC$2:$BC$500,'[1]CTR PUB MAN'!$D$2:$D$500)),"")</f>
        <v/>
      </c>
      <c r="E173" s="5" t="str">
        <f>_xlfn.XLOOKUP(C173,[2]Classes!$A$2:$A$500,[2]Classes!$D$2:$D$500)</f>
        <v>GIC TAC</v>
      </c>
      <c r="F173" s="5" t="str">
        <f>_xlfn.XLOOKUP(C173,[2]Classes!$A$2:$A$500,[2]Classes!$C$2:$C$500)</f>
        <v>CRA D'EBOLOWA</v>
      </c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spans="1:22" x14ac:dyDescent="0.25">
      <c r="A174">
        <f t="shared" si="2"/>
        <v>171</v>
      </c>
      <c r="B174" s="5" t="s">
        <v>63</v>
      </c>
      <c r="C174" s="5" t="s">
        <v>266</v>
      </c>
      <c r="D174" s="8" t="str">
        <f>IFERROR(HYPERLINK(_xlfn.XLOOKUP(C174,'[1]CTR PUB MAN'!$BC$2:$BC$500,'[1]CTR PUB MAN'!$D$2:$D$500),_xlfn.XLOOKUP(C174,'[1]CTR PUB MAN'!$BC$2:$BC$500,'[1]CTR PUB MAN'!$D$2:$D$500)),"")</f>
        <v/>
      </c>
      <c r="E174" s="5" t="str">
        <f>_xlfn.XLOOKUP(C174,[2]Classes!$A$2:$A$500,[2]Classes!$D$2:$D$500)</f>
        <v>GIC RAC</v>
      </c>
      <c r="F174" s="5" t="str">
        <f>_xlfn.XLOOKUP(C174,[2]Classes!$A$2:$A$500,[2]Classes!$C$2:$C$500)</f>
        <v>CODEA-IAO</v>
      </c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spans="1:22" x14ac:dyDescent="0.25">
      <c r="A175">
        <f t="shared" si="2"/>
        <v>172</v>
      </c>
      <c r="B175" s="5" t="s">
        <v>63</v>
      </c>
      <c r="C175" s="5" t="s">
        <v>267</v>
      </c>
      <c r="D175" s="8" t="str">
        <f>IFERROR(HYPERLINK(_xlfn.XLOOKUP(C175,'[1]CTR PUB MAN'!$BC$2:$BC$500,'[1]CTR PUB MAN'!$D$2:$D$500),_xlfn.XLOOKUP(C175,'[1]CTR PUB MAN'!$BC$2:$BC$500,'[1]CTR PUB MAN'!$D$2:$D$500)),"")</f>
        <v/>
      </c>
      <c r="E175" s="5" t="str">
        <f>_xlfn.XLOOKUP(C175,[2]Classes!$A$2:$A$500,[2]Classes!$D$2:$D$500)</f>
        <v>GIC RAC</v>
      </c>
      <c r="F175" s="5" t="str">
        <f>_xlfn.XLOOKUP(C175,[2]Classes!$A$2:$A$500,[2]Classes!$C$2:$C$500)</f>
        <v>CODEA-IAO</v>
      </c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spans="1:22" x14ac:dyDescent="0.25">
      <c r="A176">
        <f t="shared" si="2"/>
        <v>173</v>
      </c>
      <c r="B176" s="5" t="s">
        <v>63</v>
      </c>
      <c r="C176" s="5" t="s">
        <v>268</v>
      </c>
      <c r="D176" s="8" t="str">
        <f>IFERROR(HYPERLINK(_xlfn.XLOOKUP(C176,'[1]CTR PUB MAN'!$BC$2:$BC$500,'[1]CTR PUB MAN'!$D$2:$D$500),_xlfn.XLOOKUP(C176,'[1]CTR PUB MAN'!$BC$2:$BC$500,'[1]CTR PUB MAN'!$D$2:$D$500)),"")</f>
        <v/>
      </c>
      <c r="E176" s="5" t="str">
        <f>_xlfn.XLOOKUP(C176,[2]Classes!$A$2:$A$500,[2]Classes!$D$2:$D$500)</f>
        <v>GIC RAC</v>
      </c>
      <c r="F176" s="5" t="str">
        <f>_xlfn.XLOOKUP(C176,[2]Classes!$A$2:$A$500,[2]Classes!$C$2:$C$500)</f>
        <v>CODEA-IAO</v>
      </c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spans="1:22" x14ac:dyDescent="0.25">
      <c r="A177">
        <f t="shared" si="2"/>
        <v>174</v>
      </c>
      <c r="B177" s="5" t="s">
        <v>64</v>
      </c>
      <c r="C177" s="5" t="s">
        <v>269</v>
      </c>
      <c r="D177" s="8" t="str">
        <f>IFERROR(HYPERLINK(_xlfn.XLOOKUP(C177,'[1]CTR PUB MAN'!$BC$2:$BC$500,'[1]CTR PUB MAN'!$D$2:$D$500),_xlfn.XLOOKUP(C177,'[1]CTR PUB MAN'!$BC$2:$BC$500,'[1]CTR PUB MAN'!$D$2:$D$500)),"")</f>
        <v>https://is.gd/cOFGj4</v>
      </c>
      <c r="E177" s="5" t="str">
        <f>_xlfn.XLOOKUP(C177,[2]Classes!$A$2:$A$500,[2]Classes!$D$2:$D$500)</f>
        <v>TPA LOGONE RIZ</v>
      </c>
      <c r="F177" s="5" t="str">
        <f>_xlfn.XLOOKUP(C177,[2]Classes!$A$2:$A$500,[2]Classes!$C$2:$C$500)</f>
        <v>Centre de Formation et d'Education aux Métiers (CFEM)</v>
      </c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spans="1:22" x14ac:dyDescent="0.25">
      <c r="A178">
        <f t="shared" si="2"/>
        <v>175</v>
      </c>
      <c r="B178" s="5" t="s">
        <v>64</v>
      </c>
      <c r="C178" s="5" t="s">
        <v>270</v>
      </c>
      <c r="D178" s="8" t="str">
        <f>IFERROR(HYPERLINK(_xlfn.XLOOKUP(C178,'[1]CTR PUB MAN'!$BC$2:$BC$500,'[1]CTR PUB MAN'!$D$2:$D$500),_xlfn.XLOOKUP(C178,'[1]CTR PUB MAN'!$BC$2:$BC$500,'[1]CTR PUB MAN'!$D$2:$D$500)),"")</f>
        <v/>
      </c>
      <c r="E178" s="5" t="str">
        <f>_xlfn.XLOOKUP(C178,[2]Classes!$A$2:$A$500,[2]Classes!$D$2:$D$500)</f>
        <v>TPA LOGONE RIZ</v>
      </c>
      <c r="F178" s="5" t="str">
        <f>_xlfn.XLOOKUP(C178,[2]Classes!$A$2:$A$500,[2]Classes!$C$2:$C$500)</f>
        <v>Centre de Formation et d'Education aux Métiers (CFEM)</v>
      </c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spans="1:22" x14ac:dyDescent="0.25">
      <c r="A179">
        <f t="shared" si="2"/>
        <v>176</v>
      </c>
      <c r="B179" s="5" t="s">
        <v>64</v>
      </c>
      <c r="C179" s="5" t="s">
        <v>271</v>
      </c>
      <c r="D179" s="8" t="str">
        <f>IFERROR(HYPERLINK(_xlfn.XLOOKUP(C179,'[1]CTR PUB MAN'!$BC$2:$BC$500,'[1]CTR PUB MAN'!$D$2:$D$500),_xlfn.XLOOKUP(C179,'[1]CTR PUB MAN'!$BC$2:$BC$500,'[1]CTR PUB MAN'!$D$2:$D$500)),"")</f>
        <v/>
      </c>
      <c r="E179" s="5" t="str">
        <f>_xlfn.XLOOKUP(C179,[2]Classes!$A$2:$A$500,[2]Classes!$D$2:$D$500)</f>
        <v>TPA LOGONE RIZ</v>
      </c>
      <c r="F179" s="5" t="str">
        <f>_xlfn.XLOOKUP(C179,[2]Classes!$A$2:$A$500,[2]Classes!$C$2:$C$500)</f>
        <v>Centre de Formation et d'Education aux Métiers (CFEM)</v>
      </c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spans="1:22" x14ac:dyDescent="0.25">
      <c r="A180">
        <f t="shared" si="2"/>
        <v>177</v>
      </c>
      <c r="B180" s="5" t="s">
        <v>64</v>
      </c>
      <c r="C180" s="5" t="s">
        <v>272</v>
      </c>
      <c r="D180" s="8" t="str">
        <f>IFERROR(HYPERLINK(_xlfn.XLOOKUP(C180,'[1]CTR PUB MAN'!$BC$2:$BC$500,'[1]CTR PUB MAN'!$D$2:$D$500),_xlfn.XLOOKUP(C180,'[1]CTR PUB MAN'!$BC$2:$BC$500,'[1]CTR PUB MAN'!$D$2:$D$500)),"")</f>
        <v/>
      </c>
      <c r="E180" s="5" t="str">
        <f>_xlfn.XLOOKUP(C180,[2]Classes!$A$2:$A$500,[2]Classes!$D$2:$D$500)</f>
        <v>TPA LOGONE RIZ</v>
      </c>
      <c r="F180" s="5" t="str">
        <f>_xlfn.XLOOKUP(C180,[2]Classes!$A$2:$A$500,[2]Classes!$C$2:$C$500)</f>
        <v>Centre de Formation et d'Education aux Métiers (CFEM)</v>
      </c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spans="1:22" x14ac:dyDescent="0.25">
      <c r="A181">
        <f t="shared" si="2"/>
        <v>178</v>
      </c>
      <c r="B181" s="5" t="s">
        <v>65</v>
      </c>
      <c r="C181" s="5" t="s">
        <v>273</v>
      </c>
      <c r="D181" s="8" t="str">
        <f>IFERROR(HYPERLINK(_xlfn.XLOOKUP(C181,'[1]CTR PUB MAN'!$BC$2:$BC$500,'[1]CTR PUB MAN'!$D$2:$D$500),_xlfn.XLOOKUP(C181,'[1]CTR PUB MAN'!$BC$2:$BC$500,'[1]CTR PUB MAN'!$D$2:$D$500)),"")</f>
        <v/>
      </c>
      <c r="E181" s="5" t="str">
        <f>_xlfn.XLOOKUP(C181,[2]Classes!$A$2:$A$500,[2]Classes!$D$2:$D$500)</f>
        <v>SCOOP-CA CROPSEC</v>
      </c>
      <c r="F181" s="5" t="str">
        <f>_xlfn.XLOOKUP(C181,[2]Classes!$A$2:$A$500,[2]Classes!$C$2:$C$500)</f>
        <v>Centre de Formation et d'Education aux Métiers (CFEM)</v>
      </c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spans="1:22" x14ac:dyDescent="0.25">
      <c r="A182">
        <f t="shared" si="2"/>
        <v>179</v>
      </c>
      <c r="B182" s="5" t="s">
        <v>65</v>
      </c>
      <c r="C182" s="5" t="s">
        <v>274</v>
      </c>
      <c r="D182" s="8" t="str">
        <f>IFERROR(HYPERLINK(_xlfn.XLOOKUP(C182,'[1]CTR PUB MAN'!$BC$2:$BC$500,'[1]CTR PUB MAN'!$D$2:$D$500),_xlfn.XLOOKUP(C182,'[1]CTR PUB MAN'!$BC$2:$BC$500,'[1]CTR PUB MAN'!$D$2:$D$500)),"")</f>
        <v/>
      </c>
      <c r="E182" s="5" t="str">
        <f>_xlfn.XLOOKUP(C182,[2]Classes!$A$2:$A$500,[2]Classes!$D$2:$D$500)</f>
        <v>SCOOP-CA CROPSEC</v>
      </c>
      <c r="F182" s="5" t="str">
        <f>_xlfn.XLOOKUP(C182,[2]Classes!$A$2:$A$500,[2]Classes!$C$2:$C$500)</f>
        <v>Centre de Formation et d'Education aux Métiers (CFEM)</v>
      </c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spans="1:22" x14ac:dyDescent="0.25">
      <c r="A183">
        <f t="shared" si="2"/>
        <v>180</v>
      </c>
      <c r="B183" s="5" t="s">
        <v>65</v>
      </c>
      <c r="C183" s="5" t="s">
        <v>275</v>
      </c>
      <c r="D183" s="8" t="str">
        <f>IFERROR(HYPERLINK(_xlfn.XLOOKUP(C183,'[1]CTR PUB MAN'!$BC$2:$BC$500,'[1]CTR PUB MAN'!$D$2:$D$500),_xlfn.XLOOKUP(C183,'[1]CTR PUB MAN'!$BC$2:$BC$500,'[1]CTR PUB MAN'!$D$2:$D$500)),"")</f>
        <v/>
      </c>
      <c r="E183" s="5" t="str">
        <f>_xlfn.XLOOKUP(C183,[2]Classes!$A$2:$A$500,[2]Classes!$D$2:$D$500)</f>
        <v>SCOOP-CA CROPSEC</v>
      </c>
      <c r="F183" s="5" t="str">
        <f>_xlfn.XLOOKUP(C183,[2]Classes!$A$2:$A$500,[2]Classes!$C$2:$C$500)</f>
        <v>Centre de Formation et d'Education aux Métiers (CFEM)</v>
      </c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spans="1:22" x14ac:dyDescent="0.25">
      <c r="A184">
        <f t="shared" si="2"/>
        <v>181</v>
      </c>
      <c r="B184" s="5" t="s">
        <v>65</v>
      </c>
      <c r="C184" s="5" t="s">
        <v>276</v>
      </c>
      <c r="D184" s="8" t="str">
        <f>IFERROR(HYPERLINK(_xlfn.XLOOKUP(C184,'[1]CTR PUB MAN'!$BC$2:$BC$500,'[1]CTR PUB MAN'!$D$2:$D$500),_xlfn.XLOOKUP(C184,'[1]CTR PUB MAN'!$BC$2:$BC$500,'[1]CTR PUB MAN'!$D$2:$D$500)),"")</f>
        <v/>
      </c>
      <c r="E184" s="5" t="str">
        <f>_xlfn.XLOOKUP(C184,[2]Classes!$A$2:$A$500,[2]Classes!$D$2:$D$500)</f>
        <v>SCOOP-CA CROPSEC</v>
      </c>
      <c r="F184" s="5" t="str">
        <f>_xlfn.XLOOKUP(C184,[2]Classes!$A$2:$A$500,[2]Classes!$C$2:$C$500)</f>
        <v>Centre de Formation et d'Education aux Métiers (CFEM)</v>
      </c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 x14ac:dyDescent="0.25">
      <c r="A185">
        <f t="shared" si="2"/>
        <v>182</v>
      </c>
      <c r="B185" s="5" t="s">
        <v>66</v>
      </c>
      <c r="C185" s="5" t="s">
        <v>277</v>
      </c>
      <c r="D185" s="8" t="str">
        <f>IFERROR(HYPERLINK(_xlfn.XLOOKUP(C185,'[1]CTR PUB MAN'!$BC$2:$BC$500,'[1]CTR PUB MAN'!$D$2:$D$500),_xlfn.XLOOKUP(C185,'[1]CTR PUB MAN'!$BC$2:$BC$500,'[1]CTR PUB MAN'!$D$2:$D$500)),"")</f>
        <v>https://is.gd/ogjeBl</v>
      </c>
      <c r="E185" s="5" t="str">
        <f>_xlfn.XLOOKUP(C185,[2]Classes!$A$2:$A$500,[2]Classes!$D$2:$D$500)</f>
        <v>TEAM SOLUTION</v>
      </c>
      <c r="F185" s="5" t="str">
        <f>_xlfn.XLOOKUP(C185,[2]Classes!$A$2:$A$500,[2]Classes!$C$2:$C$500)</f>
        <v>LIDAF CONSULTING CORPORATION OF AFRICA SARL</v>
      </c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 x14ac:dyDescent="0.25">
      <c r="A186">
        <f t="shared" si="2"/>
        <v>183</v>
      </c>
      <c r="B186" s="5" t="s">
        <v>67</v>
      </c>
      <c r="C186" s="5" t="s">
        <v>278</v>
      </c>
      <c r="D186" s="8" t="str">
        <f>IFERROR(HYPERLINK(_xlfn.XLOOKUP(C186,'[1]CTR PUB MAN'!$BC$2:$BC$500,'[1]CTR PUB MAN'!$D$2:$D$500),_xlfn.XLOOKUP(C186,'[1]CTR PUB MAN'!$BC$2:$BC$500,'[1]CTR PUB MAN'!$D$2:$D$500)),"")</f>
        <v>https://is.gd/yMrcSq</v>
      </c>
      <c r="E186" s="5" t="str">
        <f>_xlfn.XLOOKUP(C186,[2]Classes!$A$2:$A$500,[2]Classes!$D$2:$D$500)</f>
        <v>AFRAJEPE (ASSOCIATION DE FORMATION DE REINSERTION, D'ASSISTANCE A LA JEUNESSE ET DE LA PROTECTION DE L'ENVIRONNEMENT)</v>
      </c>
      <c r="F186" s="5" t="str">
        <f>_xlfn.XLOOKUP(C186,[2]Classes!$A$2:$A$500,[2]Classes!$C$2:$C$500)</f>
        <v>INSTITUT SUPERIEUR DE MANAGEMENT ET DES TECHNOLOGIES APPLIQUEES (ISMTA)</v>
      </c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 x14ac:dyDescent="0.25">
      <c r="A187">
        <f t="shared" si="2"/>
        <v>184</v>
      </c>
      <c r="B187" s="5" t="s">
        <v>68</v>
      </c>
      <c r="C187" s="5" t="s">
        <v>279</v>
      </c>
      <c r="D187" s="8" t="str">
        <f>IFERROR(HYPERLINK(_xlfn.XLOOKUP(C187,'[1]CTR PUB MAN'!$BC$2:$BC$500,'[1]CTR PUB MAN'!$D$2:$D$500),_xlfn.XLOOKUP(C187,'[1]CTR PUB MAN'!$BC$2:$BC$500,'[1]CTR PUB MAN'!$D$2:$D$500)),"")</f>
        <v>https://is.gd/5l02fv</v>
      </c>
      <c r="E187" s="5" t="str">
        <f>_xlfn.XLOOKUP(C187,[2]Classes!$A$2:$A$500,[2]Classes!$D$2:$D$500)</f>
        <v>GROUPEMENT YAD CONSTRUCTION ; DELTA CONSTRUCTION ET FEDIVED</v>
      </c>
      <c r="F187" s="5" t="str">
        <f>_xlfn.XLOOKUP(C187,[2]Classes!$A$2:$A$500,[2]Classes!$C$2:$C$500)</f>
        <v>CFP BMB NEW AFRICA</v>
      </c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 x14ac:dyDescent="0.25">
      <c r="A188">
        <f t="shared" si="2"/>
        <v>185</v>
      </c>
      <c r="B188" s="5" t="s">
        <v>69</v>
      </c>
      <c r="C188" s="5" t="s">
        <v>280</v>
      </c>
      <c r="D188" s="8" t="str">
        <f>IFERROR(HYPERLINK(_xlfn.XLOOKUP(C188,'[1]CTR PUB MAN'!$BC$2:$BC$500,'[1]CTR PUB MAN'!$D$2:$D$500),_xlfn.XLOOKUP(C188,'[1]CTR PUB MAN'!$BC$2:$BC$500,'[1]CTR PUB MAN'!$D$2:$D$500)),"")</f>
        <v>https://is.gd/CG1qty</v>
      </c>
      <c r="E188" s="5" t="str">
        <f>_xlfn.XLOOKUP(C188,[2]Classes!$A$2:$A$500,[2]Classes!$D$2:$D$500)</f>
        <v>SOCIETE COOPERATIVE SIMPLIFIEE LES FERMIERS D'AFRIQUE POUR L'EMBOUCHE BOVINE DE DJARENGOL</v>
      </c>
      <c r="F188" s="5" t="str">
        <f>_xlfn.XLOOKUP(C188,[2]Classes!$A$2:$A$500,[2]Classes!$C$2:$C$500)</f>
        <v>PADIUM EXPRESS SERVICES</v>
      </c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 x14ac:dyDescent="0.25">
      <c r="A189">
        <f t="shared" si="2"/>
        <v>186</v>
      </c>
      <c r="B189" s="5" t="s">
        <v>70</v>
      </c>
      <c r="C189" s="5" t="s">
        <v>281</v>
      </c>
      <c r="D189" s="8" t="str">
        <f>IFERROR(HYPERLINK(_xlfn.XLOOKUP(C189,'[1]CTR PUB MAN'!$BC$2:$BC$500,'[1]CTR PUB MAN'!$D$2:$D$500),_xlfn.XLOOKUP(C189,'[1]CTR PUB MAN'!$BC$2:$BC$500,'[1]CTR PUB MAN'!$D$2:$D$500)),"")</f>
        <v/>
      </c>
      <c r="E189" s="5" t="str">
        <f>_xlfn.XLOOKUP(C189,[2]Classes!$A$2:$A$500,[2]Classes!$D$2:$D$500)</f>
        <v>P'EVENT BUSINESS</v>
      </c>
      <c r="F189" s="5" t="str">
        <f>_xlfn.XLOOKUP(C189,[2]Classes!$A$2:$A$500,[2]Classes!$C$2:$C$500)</f>
        <v>INSTITUT SUPERIEUR DE MANAGEMENT ET DES TECHNOLOGIES APPLIQUEES (ISMTA)</v>
      </c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 x14ac:dyDescent="0.25">
      <c r="A190">
        <f t="shared" si="2"/>
        <v>187</v>
      </c>
      <c r="B190" s="5" t="s">
        <v>71</v>
      </c>
      <c r="C190" s="5" t="s">
        <v>282</v>
      </c>
      <c r="D190" s="8" t="str">
        <f>IFERROR(HYPERLINK(_xlfn.XLOOKUP(C190,'[1]CTR PUB MAN'!$BC$2:$BC$500,'[1]CTR PUB MAN'!$D$2:$D$500),_xlfn.XLOOKUP(C190,'[1]CTR PUB MAN'!$BC$2:$BC$500,'[1]CTR PUB MAN'!$D$2:$D$500)),"")</f>
        <v>https://is.gd/TTEFTS</v>
      </c>
      <c r="E190" s="5" t="str">
        <f>_xlfn.XLOOKUP(C190,[2]Classes!$A$2:$A$500,[2]Classes!$D$2:$D$500)</f>
        <v>REWBE TIDDAL</v>
      </c>
      <c r="F190" s="5" t="str">
        <f>_xlfn.XLOOKUP(C190,[2]Classes!$A$2:$A$500,[2]Classes!$C$2:$C$500)</f>
        <v>PADIUM EXPRESS SERVICES</v>
      </c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 x14ac:dyDescent="0.25">
      <c r="A191">
        <f t="shared" si="2"/>
        <v>188</v>
      </c>
      <c r="B191" s="5" t="s">
        <v>72</v>
      </c>
      <c r="C191" s="5" t="s">
        <v>283</v>
      </c>
      <c r="D191" s="8" t="str">
        <f>IFERROR(HYPERLINK(_xlfn.XLOOKUP(C191,'[1]CTR PUB MAN'!$BC$2:$BC$500,'[1]CTR PUB MAN'!$D$2:$D$500),_xlfn.XLOOKUP(C191,'[1]CTR PUB MAN'!$BC$2:$BC$500,'[1]CTR PUB MAN'!$D$2:$D$500)),"")</f>
        <v>https://is.gd/mqiAnP</v>
      </c>
      <c r="E191" s="5" t="str">
        <f>_xlfn.XLOOKUP(C191,[2]Classes!$A$2:$A$500,[2]Classes!$D$2:$D$500)</f>
        <v>ERENCAM</v>
      </c>
      <c r="F191" s="5" t="str">
        <f>_xlfn.XLOOKUP(C191,[2]Classes!$A$2:$A$500,[2]Classes!$C$2:$C$500)</f>
        <v>Centre de Formation et d'Education aux Métiers (CFEM)</v>
      </c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 x14ac:dyDescent="0.25">
      <c r="A192">
        <f t="shared" si="2"/>
        <v>189</v>
      </c>
      <c r="B192" s="5" t="s">
        <v>72</v>
      </c>
      <c r="C192" s="5" t="s">
        <v>284</v>
      </c>
      <c r="D192" s="8" t="str">
        <f>IFERROR(HYPERLINK(_xlfn.XLOOKUP(C192,'[1]CTR PUB MAN'!$BC$2:$BC$500,'[1]CTR PUB MAN'!$D$2:$D$500),_xlfn.XLOOKUP(C192,'[1]CTR PUB MAN'!$BC$2:$BC$500,'[1]CTR PUB MAN'!$D$2:$D$500)),"")</f>
        <v>https://is.gd/yPwkNC</v>
      </c>
      <c r="E192" s="5" t="str">
        <f>_xlfn.XLOOKUP(C192,[2]Classes!$A$2:$A$500,[2]Classes!$D$2:$D$500)</f>
        <v>ERENCAM</v>
      </c>
      <c r="F192" s="5" t="str">
        <f>_xlfn.XLOOKUP(C192,[2]Classes!$A$2:$A$500,[2]Classes!$C$2:$C$500)</f>
        <v>Centre de Formation et d'Education aux Métiers (CFEM)</v>
      </c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 x14ac:dyDescent="0.25">
      <c r="A193">
        <f t="shared" si="2"/>
        <v>190</v>
      </c>
      <c r="B193" s="5" t="s">
        <v>72</v>
      </c>
      <c r="C193" s="5" t="s">
        <v>285</v>
      </c>
      <c r="D193" s="8" t="str">
        <f>IFERROR(HYPERLINK(_xlfn.XLOOKUP(C193,'[1]CTR PUB MAN'!$BC$2:$BC$500,'[1]CTR PUB MAN'!$D$2:$D$500),_xlfn.XLOOKUP(C193,'[1]CTR PUB MAN'!$BC$2:$BC$500,'[1]CTR PUB MAN'!$D$2:$D$500)),"")</f>
        <v/>
      </c>
      <c r="E193" s="5" t="str">
        <f>_xlfn.XLOOKUP(C193,[2]Classes!$A$2:$A$500,[2]Classes!$D$2:$D$500)</f>
        <v>ERENCAM</v>
      </c>
      <c r="F193" s="5" t="str">
        <f>_xlfn.XLOOKUP(C193,[2]Classes!$A$2:$A$500,[2]Classes!$C$2:$C$500)</f>
        <v>Centre de Formation et d'Education aux Métiers (CFEM)</v>
      </c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spans="1:22" x14ac:dyDescent="0.25">
      <c r="A194">
        <f t="shared" si="2"/>
        <v>191</v>
      </c>
      <c r="B194" s="5" t="s">
        <v>72</v>
      </c>
      <c r="C194" s="5" t="s">
        <v>286</v>
      </c>
      <c r="D194" s="8" t="str">
        <f>IFERROR(HYPERLINK(_xlfn.XLOOKUP(C194,'[1]CTR PUB MAN'!$BC$2:$BC$500,'[1]CTR PUB MAN'!$D$2:$D$500),_xlfn.XLOOKUP(C194,'[1]CTR PUB MAN'!$BC$2:$BC$500,'[1]CTR PUB MAN'!$D$2:$D$500)),"")</f>
        <v/>
      </c>
      <c r="E194" s="5" t="str">
        <f>_xlfn.XLOOKUP(C194,[2]Classes!$A$2:$A$500,[2]Classes!$D$2:$D$500)</f>
        <v>ERENCAM</v>
      </c>
      <c r="F194" s="5" t="str">
        <f>_xlfn.XLOOKUP(C194,[2]Classes!$A$2:$A$500,[2]Classes!$C$2:$C$500)</f>
        <v>Centre de Formation et d'Education aux Métiers (CFEM)</v>
      </c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 x14ac:dyDescent="0.25">
      <c r="A195">
        <f t="shared" si="2"/>
        <v>192</v>
      </c>
      <c r="B195" s="5" t="s">
        <v>73</v>
      </c>
      <c r="C195" s="5" t="s">
        <v>287</v>
      </c>
      <c r="D195" s="8" t="str">
        <f>IFERROR(HYPERLINK(_xlfn.XLOOKUP(C195,'[1]CTR PUB MAN'!$BC$2:$BC$500,'[1]CTR PUB MAN'!$D$2:$D$500),_xlfn.XLOOKUP(C195,'[1]CTR PUB MAN'!$BC$2:$BC$500,'[1]CTR PUB MAN'!$D$2:$D$500)),"")</f>
        <v>https://is.gd/gd6fOq</v>
      </c>
      <c r="E195" s="5" t="str">
        <f>_xlfn.XLOOKUP(C195,[2]Classes!$A$2:$A$500,[2]Classes!$D$2:$D$500)</f>
        <v>SYNDICAT NATIONAL DES PROMOTEURS DE SALONS DE COIFURE ET D'ESTETHIQUE DU CAMEROUN (SYNPCE)</v>
      </c>
      <c r="F195" s="5" t="str">
        <f>_xlfn.XLOOKUP(C195,[2]Classes!$A$2:$A$500,[2]Classes!$C$2:$C$500)</f>
        <v>EXPERT FINANCE CONSULTING</v>
      </c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1:22" x14ac:dyDescent="0.25">
      <c r="A196">
        <f t="shared" si="2"/>
        <v>193</v>
      </c>
      <c r="B196" s="5" t="s">
        <v>74</v>
      </c>
      <c r="C196" s="5" t="s">
        <v>288</v>
      </c>
      <c r="D196" s="8" t="str">
        <f>IFERROR(HYPERLINK(_xlfn.XLOOKUP(C196,'[1]CTR PUB MAN'!$BC$2:$BC$500,'[1]CTR PUB MAN'!$D$2:$D$500),_xlfn.XLOOKUP(C196,'[1]CTR PUB MAN'!$BC$2:$BC$500,'[1]CTR PUB MAN'!$D$2:$D$500)),"")</f>
        <v>https://is.gd/NzPp1r</v>
      </c>
      <c r="E196" s="5" t="str">
        <f>_xlfn.XLOOKUP(C196,[2]Classes!$A$2:$A$500,[2]Classes!$D$2:$D$500)</f>
        <v>ASSOCIATION DES ENFANTS ET JEUNES TRAVAILLEURS DU CAMEROUN (AEJT CAM)</v>
      </c>
      <c r="F196" s="5" t="str">
        <f>_xlfn.XLOOKUP(C196,[2]Classes!$A$2:$A$500,[2]Classes!$C$2:$C$500)</f>
        <v>CODEA-IAO</v>
      </c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</row>
    <row r="197" spans="1:22" x14ac:dyDescent="0.25">
      <c r="A197">
        <f t="shared" si="2"/>
        <v>194</v>
      </c>
      <c r="B197" s="5" t="s">
        <v>75</v>
      </c>
      <c r="C197" s="5" t="s">
        <v>289</v>
      </c>
      <c r="D197" s="8" t="str">
        <f>IFERROR(HYPERLINK(_xlfn.XLOOKUP(C197,'[1]CTR PUB MAN'!$BC$2:$BC$500,'[1]CTR PUB MAN'!$D$2:$D$500),_xlfn.XLOOKUP(C197,'[1]CTR PUB MAN'!$BC$2:$BC$500,'[1]CTR PUB MAN'!$D$2:$D$500)),"")</f>
        <v/>
      </c>
      <c r="E197" s="5" t="str">
        <f>_xlfn.XLOOKUP(C197,[2]Classes!$A$2:$A$500,[2]Classes!$D$2:$D$500)</f>
        <v>GIC LE JARDINIER MPF "JEUNESSE ACTIVE"</v>
      </c>
      <c r="F197" s="5" t="str">
        <f>_xlfn.XLOOKUP(C197,[2]Classes!$A$2:$A$500,[2]Classes!$C$2:$C$500)</f>
        <v>CADHAC</v>
      </c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</row>
    <row r="198" spans="1:22" x14ac:dyDescent="0.25">
      <c r="A198">
        <f t="shared" ref="A198:A229" si="3">1+A197</f>
        <v>195</v>
      </c>
      <c r="B198" s="5" t="s">
        <v>76</v>
      </c>
      <c r="C198" s="5" t="s">
        <v>290</v>
      </c>
      <c r="D198" s="8" t="str">
        <f>IFERROR(HYPERLINK(_xlfn.XLOOKUP(C198,'[1]CTR PUB MAN'!$BC$2:$BC$500,'[1]CTR PUB MAN'!$D$2:$D$500),_xlfn.XLOOKUP(C198,'[1]CTR PUB MAN'!$BC$2:$BC$500,'[1]CTR PUB MAN'!$D$2:$D$500)),"")</f>
        <v>https://is.gd/Pdm1M7</v>
      </c>
      <c r="E198" s="5" t="str">
        <f>_xlfn.XLOOKUP(C198,[2]Classes!$A$2:$A$500,[2]Classes!$D$2:$D$500)</f>
        <v>COOPERATIVE DE PROMOTION D'APPUI AUX INITIATIVES DE DEVELOPPEMENT (CPAID - COOPCA)</v>
      </c>
      <c r="F198" s="5" t="str">
        <f>_xlfn.XLOOKUP(C198,[2]Classes!$A$2:$A$500,[2]Classes!$C$2:$C$500)</f>
        <v>CADHAC</v>
      </c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</row>
    <row r="199" spans="1:22" x14ac:dyDescent="0.25">
      <c r="A199">
        <f t="shared" si="3"/>
        <v>196</v>
      </c>
      <c r="B199" s="5" t="s">
        <v>77</v>
      </c>
      <c r="C199" s="5" t="s">
        <v>291</v>
      </c>
      <c r="D199" s="8" t="str">
        <f>IFERROR(HYPERLINK(_xlfn.XLOOKUP(C199,'[1]CTR PUB MAN'!$BC$2:$BC$500,'[1]CTR PUB MAN'!$D$2:$D$500),_xlfn.XLOOKUP(C199,'[1]CTR PUB MAN'!$BC$2:$BC$500,'[1]CTR PUB MAN'!$D$2:$D$500)),"")</f>
        <v>https://is.gd/feAYux</v>
      </c>
      <c r="E199" s="5" t="str">
        <f>_xlfn.XLOOKUP(C199,[2]Classes!$A$2:$A$500,[2]Classes!$D$2:$D$500)</f>
        <v>NARRAL BODOUM</v>
      </c>
      <c r="F199" s="5" t="str">
        <f>_xlfn.XLOOKUP(C199,[2]Classes!$A$2:$A$500,[2]Classes!$C$2:$C$500)</f>
        <v>PADIUM EXPRESS SERVICES</v>
      </c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</row>
    <row r="200" spans="1:22" x14ac:dyDescent="0.25">
      <c r="A200">
        <f t="shared" si="3"/>
        <v>197</v>
      </c>
      <c r="B200" s="5" t="s">
        <v>78</v>
      </c>
      <c r="C200" s="5" t="s">
        <v>292</v>
      </c>
      <c r="D200" s="8" t="str">
        <f>IFERROR(HYPERLINK(_xlfn.XLOOKUP(C200,'[1]CTR PUB MAN'!$BC$2:$BC$500,'[1]CTR PUB MAN'!$D$2:$D$500),_xlfn.XLOOKUP(C200,'[1]CTR PUB MAN'!$BC$2:$BC$500,'[1]CTR PUB MAN'!$D$2:$D$500)),"")</f>
        <v>https://is.gd/z7vCwm</v>
      </c>
      <c r="E200" s="5" t="str">
        <f>_xlfn.XLOOKUP(C200,[2]Classes!$A$2:$A$500,[2]Classes!$D$2:$D$500)</f>
        <v>GIC MIAPAL</v>
      </c>
      <c r="F200" s="5" t="str">
        <f>_xlfn.XLOOKUP(C200,[2]Classes!$A$2:$A$500,[2]Classes!$C$2:$C$500)</f>
        <v>PADIUM EXPRESS SERVICES</v>
      </c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</row>
    <row r="201" spans="1:22" x14ac:dyDescent="0.25">
      <c r="A201">
        <f t="shared" si="3"/>
        <v>198</v>
      </c>
      <c r="B201" s="5" t="s">
        <v>79</v>
      </c>
      <c r="C201" s="5" t="s">
        <v>293</v>
      </c>
      <c r="D201" s="8" t="str">
        <f>IFERROR(HYPERLINK(_xlfn.XLOOKUP(C201,'[1]CTR PUB MAN'!$BC$2:$BC$500,'[1]CTR PUB MAN'!$D$2:$D$500),_xlfn.XLOOKUP(C201,'[1]CTR PUB MAN'!$BC$2:$BC$500,'[1]CTR PUB MAN'!$D$2:$D$500)),"")</f>
        <v>https://is.gd/3gr30Q</v>
      </c>
      <c r="E201" s="5" t="str">
        <f>_xlfn.XLOOKUP(C201,[2]Classes!$A$2:$A$500,[2]Classes!$D$2:$D$500)</f>
        <v>SOCITE COOPERATIVE KAMKAMA</v>
      </c>
      <c r="F201" s="5" t="str">
        <f>_xlfn.XLOOKUP(C201,[2]Classes!$A$2:$A$500,[2]Classes!$C$2:$C$500)</f>
        <v>PADIUM EXPRESS SERVICES</v>
      </c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</row>
    <row r="202" spans="1:22" x14ac:dyDescent="0.25">
      <c r="A202">
        <f t="shared" si="3"/>
        <v>199</v>
      </c>
      <c r="B202" s="5" t="s">
        <v>80</v>
      </c>
      <c r="C202" s="5" t="s">
        <v>294</v>
      </c>
      <c r="D202" s="8" t="str">
        <f>IFERROR(HYPERLINK(_xlfn.XLOOKUP(C202,'[1]CTR PUB MAN'!$BC$2:$BC$500,'[1]CTR PUB MAN'!$D$2:$D$500),_xlfn.XLOOKUP(C202,'[1]CTR PUB MAN'!$BC$2:$BC$500,'[1]CTR PUB MAN'!$D$2:$D$500)),"")</f>
        <v/>
      </c>
      <c r="E202" s="5" t="str">
        <f>_xlfn.XLOOKUP(C202,[2]Classes!$A$2:$A$500,[2]Classes!$D$2:$D$500)</f>
        <v>FEMMES DYNAMIQUES AU SERVICE DU DEVELOPPEMENT DURABLE ET DE L'INTEGRATION SOCIALE (FEDDIS)</v>
      </c>
      <c r="F202" s="5" t="str">
        <f>_xlfn.XLOOKUP(C202,[2]Classes!$A$2:$A$500,[2]Classes!$C$2:$C$500)</f>
        <v>CADHAC</v>
      </c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</row>
    <row r="203" spans="1:22" x14ac:dyDescent="0.25">
      <c r="A203">
        <f t="shared" si="3"/>
        <v>200</v>
      </c>
      <c r="B203" s="5" t="s">
        <v>81</v>
      </c>
      <c r="C203" s="5" t="s">
        <v>295</v>
      </c>
      <c r="D203" s="8" t="str">
        <f>IFERROR(HYPERLINK(_xlfn.XLOOKUP(C203,'[1]CTR PUB MAN'!$BC$2:$BC$500,'[1]CTR PUB MAN'!$D$2:$D$500),_xlfn.XLOOKUP(C203,'[1]CTR PUB MAN'!$BC$2:$BC$500,'[1]CTR PUB MAN'!$D$2:$D$500)),"")</f>
        <v>https://is.gd/sMcXtW</v>
      </c>
      <c r="E203" s="5" t="str">
        <f>_xlfn.XLOOKUP(C203,[2]Classes!$A$2:$A$500,[2]Classes!$D$2:$D$500)</f>
        <v>BELLE ETOILE SCOOPS</v>
      </c>
      <c r="F203" s="5" t="str">
        <f>_xlfn.XLOOKUP(C203,[2]Classes!$A$2:$A$500,[2]Classes!$C$2:$C$500)</f>
        <v>BBV FOODS SARL</v>
      </c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</row>
    <row r="204" spans="1:22" x14ac:dyDescent="0.25">
      <c r="A204">
        <f t="shared" si="3"/>
        <v>201</v>
      </c>
      <c r="B204" s="5" t="s">
        <v>81</v>
      </c>
      <c r="C204" s="5" t="s">
        <v>296</v>
      </c>
      <c r="D204" s="8" t="str">
        <f>IFERROR(HYPERLINK(_xlfn.XLOOKUP(C204,'[1]CTR PUB MAN'!$BC$2:$BC$500,'[1]CTR PUB MAN'!$D$2:$D$500),_xlfn.XLOOKUP(C204,'[1]CTR PUB MAN'!$BC$2:$BC$500,'[1]CTR PUB MAN'!$D$2:$D$500)),"")</f>
        <v>https://is.gd/WflYY9</v>
      </c>
      <c r="E204" s="5" t="str">
        <f>_xlfn.XLOOKUP(C204,[2]Classes!$A$2:$A$500,[2]Classes!$D$2:$D$500)</f>
        <v>BELLE ETOILE SCOOPS</v>
      </c>
      <c r="F204" s="5" t="str">
        <f>_xlfn.XLOOKUP(C204,[2]Classes!$A$2:$A$500,[2]Classes!$C$2:$C$500)</f>
        <v>BBV FOODS SARL</v>
      </c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</row>
    <row r="205" spans="1:22" x14ac:dyDescent="0.25">
      <c r="A205">
        <f t="shared" si="3"/>
        <v>202</v>
      </c>
      <c r="B205" s="5" t="s">
        <v>82</v>
      </c>
      <c r="C205" s="5" t="s">
        <v>297</v>
      </c>
      <c r="D205" s="8" t="str">
        <f>IFERROR(HYPERLINK(_xlfn.XLOOKUP(C205,'[1]CTR PUB MAN'!$BC$2:$BC$500,'[1]CTR PUB MAN'!$D$2:$D$500),_xlfn.XLOOKUP(C205,'[1]CTR PUB MAN'!$BC$2:$BC$500,'[1]CTR PUB MAN'!$D$2:$D$500)),"")</f>
        <v>https://is.gd/WHbPke</v>
      </c>
      <c r="E205" s="5" t="str">
        <f>_xlfn.XLOOKUP(C205,[2]Classes!$A$2:$A$500,[2]Classes!$D$2:$D$500)</f>
        <v>DIGITAL RENTER INC</v>
      </c>
      <c r="F205" s="5" t="str">
        <f>_xlfn.XLOOKUP(C205,[2]Classes!$A$2:$A$500,[2]Classes!$C$2:$C$500)</f>
        <v>RINOO CAMEROON LTD</v>
      </c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</row>
    <row r="206" spans="1:22" x14ac:dyDescent="0.25">
      <c r="A206">
        <f t="shared" si="3"/>
        <v>203</v>
      </c>
      <c r="B206" s="5" t="s">
        <v>83</v>
      </c>
      <c r="C206" s="5" t="s">
        <v>298</v>
      </c>
      <c r="D206" s="8" t="str">
        <f>IFERROR(HYPERLINK(_xlfn.XLOOKUP(C206,'[1]CTR PUB MAN'!$BC$2:$BC$500,'[1]CTR PUB MAN'!$D$2:$D$500),_xlfn.XLOOKUP(C206,'[1]CTR PUB MAN'!$BC$2:$BC$500,'[1]CTR PUB MAN'!$D$2:$D$500)),"")</f>
        <v/>
      </c>
      <c r="E206" s="5" t="str">
        <f>_xlfn.XLOOKUP(C206,[2]Classes!$A$2:$A$500,[2]Classes!$D$2:$D$500)</f>
        <v>ASSOCIATION "GROUPE DYNAMIQUE DU SUD" (GPS)</v>
      </c>
      <c r="F206" s="5" t="str">
        <f>_xlfn.XLOOKUP(C206,[2]Classes!$A$2:$A$500,[2]Classes!$C$2:$C$500)</f>
        <v>CRA D'EBOLOWA</v>
      </c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</row>
    <row r="207" spans="1:22" x14ac:dyDescent="0.25">
      <c r="A207">
        <f t="shared" si="3"/>
        <v>204</v>
      </c>
      <c r="B207" s="5" t="s">
        <v>84</v>
      </c>
      <c r="C207" s="5" t="s">
        <v>299</v>
      </c>
      <c r="D207" s="8" t="str">
        <f>IFERROR(HYPERLINK(_xlfn.XLOOKUP(C207,'[1]CTR PUB MAN'!$BC$2:$BC$500,'[1]CTR PUB MAN'!$D$2:$D$500),_xlfn.XLOOKUP(C207,'[1]CTR PUB MAN'!$BC$2:$BC$500,'[1]CTR PUB MAN'!$D$2:$D$500)),"")</f>
        <v/>
      </c>
      <c r="E207" s="5" t="str">
        <f>_xlfn.XLOOKUP(C207,[2]Classes!$A$2:$A$500,[2]Classes!$D$2:$D$500)</f>
        <v>GROUPEMENT DES AGRICULTEURS DE SON BOUT</v>
      </c>
      <c r="F207" s="5" t="str">
        <f>_xlfn.XLOOKUP(C207,[2]Classes!$A$2:$A$500,[2]Classes!$C$2:$C$500)</f>
        <v>CODEA-IAO</v>
      </c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</row>
    <row r="208" spans="1:22" x14ac:dyDescent="0.25">
      <c r="A208">
        <f t="shared" si="3"/>
        <v>205</v>
      </c>
      <c r="B208" s="5" t="s">
        <v>84</v>
      </c>
      <c r="C208" s="5" t="s">
        <v>300</v>
      </c>
      <c r="D208" s="8" t="str">
        <f>IFERROR(HYPERLINK(_xlfn.XLOOKUP(C208,'[1]CTR PUB MAN'!$BC$2:$BC$500,'[1]CTR PUB MAN'!$D$2:$D$500),_xlfn.XLOOKUP(C208,'[1]CTR PUB MAN'!$BC$2:$BC$500,'[1]CTR PUB MAN'!$D$2:$D$500)),"")</f>
        <v/>
      </c>
      <c r="E208" s="5" t="str">
        <f>_xlfn.XLOOKUP(C208,[2]Classes!$A$2:$A$500,[2]Classes!$D$2:$D$500)</f>
        <v>GROUPEMENT DES AGRICULTEURS DE SON BOUT</v>
      </c>
      <c r="F208" s="5" t="str">
        <f>_xlfn.XLOOKUP(C208,[2]Classes!$A$2:$A$500,[2]Classes!$C$2:$C$500)</f>
        <v>CODEA-IAO</v>
      </c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</row>
    <row r="209" spans="1:22" x14ac:dyDescent="0.25">
      <c r="A209">
        <f t="shared" si="3"/>
        <v>206</v>
      </c>
      <c r="B209" s="5" t="s">
        <v>85</v>
      </c>
      <c r="C209" s="5" t="s">
        <v>301</v>
      </c>
      <c r="D209" s="8" t="str">
        <f>IFERROR(HYPERLINK(_xlfn.XLOOKUP(C209,'[1]CTR PUB MAN'!$BC$2:$BC$500,'[1]CTR PUB MAN'!$D$2:$D$500),_xlfn.XLOOKUP(C209,'[1]CTR PUB MAN'!$BC$2:$BC$500,'[1]CTR PUB MAN'!$D$2:$D$500)),"")</f>
        <v>https://is.gd/KSk71L</v>
      </c>
      <c r="E209" s="5" t="str">
        <f>_xlfn.XLOOKUP(C209,[2]Classes!$A$2:$A$500,[2]Classes!$D$2:$D$500)</f>
        <v>INNOVATION &amp; TECH HUB (IT KOLA)</v>
      </c>
      <c r="F209" s="5" t="str">
        <f>_xlfn.XLOOKUP(C209,[2]Classes!$A$2:$A$500,[2]Classes!$C$2:$C$500)</f>
        <v>CODEA-IAO</v>
      </c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</row>
    <row r="210" spans="1:22" x14ac:dyDescent="0.25">
      <c r="A210">
        <f t="shared" si="3"/>
        <v>207</v>
      </c>
      <c r="B210" s="5" t="s">
        <v>86</v>
      </c>
      <c r="C210" s="5" t="s">
        <v>302</v>
      </c>
      <c r="D210" s="8" t="str">
        <f>IFERROR(HYPERLINK(_xlfn.XLOOKUP(C210,'[1]CTR PUB MAN'!$BC$2:$BC$500,'[1]CTR PUB MAN'!$D$2:$D$500),_xlfn.XLOOKUP(C210,'[1]CTR PUB MAN'!$BC$2:$BC$500,'[1]CTR PUB MAN'!$D$2:$D$500)),"")</f>
        <v/>
      </c>
      <c r="E210" s="5" t="str">
        <f>_xlfn.XLOOKUP(C210,[2]Classes!$A$2:$A$500,[2]Classes!$D$2:$D$500)</f>
        <v>GROUPE DES PRODUCTEURS ET ELEVEURS DU SUD (GPES)</v>
      </c>
      <c r="F210" s="5" t="str">
        <f>_xlfn.XLOOKUP(C210,[2]Classes!$A$2:$A$500,[2]Classes!$C$2:$C$500)</f>
        <v>CRA D'EBOLOWA</v>
      </c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</row>
    <row r="211" spans="1:22" x14ac:dyDescent="0.25">
      <c r="A211">
        <f t="shared" si="3"/>
        <v>208</v>
      </c>
      <c r="B211" s="5" t="s">
        <v>322</v>
      </c>
      <c r="C211" s="5" t="s">
        <v>323</v>
      </c>
      <c r="D211" s="8" t="str">
        <f>IFERROR(HYPERLINK(_xlfn.XLOOKUP(C211,'[1]CTR PUB MAN'!$BC$2:$BC$500,'[1]CTR PUB MAN'!$D$2:$D$500),_xlfn.XLOOKUP(C211,'[1]CTR PUB MAN'!$BC$2:$BC$500,'[1]CTR PUB MAN'!$D$2:$D$500)),"")</f>
        <v>https://is.gd/YsRfPC</v>
      </c>
      <c r="E211" s="5" t="str">
        <f>_xlfn.XLOOKUP(C211,[2]Classes!$A$2:$A$500,[2]Classes!$D$2:$D$500)</f>
        <v>GIC DYNAMITE FORCE 9</v>
      </c>
      <c r="F211" s="5" t="str">
        <f>_xlfn.XLOOKUP(C211,[2]Classes!$A$2:$A$500,[2]Classes!$C$2:$C$500)</f>
        <v>TENE FISH CENTER (TFC) SARL</v>
      </c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</row>
    <row r="212" spans="1:22" x14ac:dyDescent="0.25">
      <c r="A212">
        <f t="shared" si="3"/>
        <v>209</v>
      </c>
      <c r="B212" s="5" t="s">
        <v>322</v>
      </c>
      <c r="C212" s="5" t="s">
        <v>324</v>
      </c>
      <c r="D212" s="8" t="str">
        <f>IFERROR(HYPERLINK(_xlfn.XLOOKUP(C212,'[1]CTR PUB MAN'!$BC$2:$BC$500,'[1]CTR PUB MAN'!$D$2:$D$500),_xlfn.XLOOKUP(C212,'[1]CTR PUB MAN'!$BC$2:$BC$500,'[1]CTR PUB MAN'!$D$2:$D$500)),"")</f>
        <v/>
      </c>
      <c r="E212" s="5" t="str">
        <f>_xlfn.XLOOKUP(C212,[2]Classes!$A$2:$A$500,[2]Classes!$D$2:$D$500)</f>
        <v>GIC DYNAMITE FORCE 9</v>
      </c>
      <c r="F212" s="5" t="str">
        <f>_xlfn.XLOOKUP(C212,[2]Classes!$A$2:$A$500,[2]Classes!$C$2:$C$500)</f>
        <v>TENE FISH CENTER (TFC) SARL</v>
      </c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</row>
    <row r="213" spans="1:22" x14ac:dyDescent="0.25">
      <c r="A213">
        <f t="shared" si="3"/>
        <v>210</v>
      </c>
      <c r="B213" s="5" t="s">
        <v>87</v>
      </c>
      <c r="C213" s="5" t="s">
        <v>303</v>
      </c>
      <c r="D213" s="8" t="str">
        <f>IFERROR(HYPERLINK(_xlfn.XLOOKUP(C213,'[1]CTR PUB MAN'!$BC$2:$BC$500,'[1]CTR PUB MAN'!$D$2:$D$500),_xlfn.XLOOKUP(C213,'[1]CTR PUB MAN'!$BC$2:$BC$500,'[1]CTR PUB MAN'!$D$2:$D$500)),"")</f>
        <v>https://is.gd/DOj8u6</v>
      </c>
      <c r="E213" s="5" t="str">
        <f>_xlfn.XLOOKUP(C213,[2]Classes!$A$2:$A$500,[2]Classes!$D$2:$D$500)</f>
        <v>CFP BMB NEW AFRICA SARL</v>
      </c>
      <c r="F213" s="5" t="str">
        <f>_xlfn.XLOOKUP(C213,[2]Classes!$A$2:$A$500,[2]Classes!$C$2:$C$500)</f>
        <v>Centre de formation professionnelle bilingue polyvalent de Soa</v>
      </c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</row>
    <row r="214" spans="1:22" x14ac:dyDescent="0.25">
      <c r="A214">
        <f t="shared" si="3"/>
        <v>211</v>
      </c>
      <c r="B214" s="5" t="s">
        <v>88</v>
      </c>
      <c r="C214" s="5" t="s">
        <v>304</v>
      </c>
      <c r="D214" s="8" t="str">
        <f>IFERROR(HYPERLINK(_xlfn.XLOOKUP(C214,'[1]CTR PUB MAN'!$BC$2:$BC$500,'[1]CTR PUB MAN'!$D$2:$D$500),_xlfn.XLOOKUP(C214,'[1]CTR PUB MAN'!$BC$2:$BC$500,'[1]CTR PUB MAN'!$D$2:$D$500)),"")</f>
        <v>https://is.gd/xbMpJI</v>
      </c>
      <c r="E214" s="5" t="str">
        <f>_xlfn.XLOOKUP(C214,[2]Classes!$A$2:$A$500,[2]Classes!$D$2:$D$500)</f>
        <v>GROUPEMENT DES ACTEURS DU SECTEUR FORESTIER DU CAMEROUN (GASFC )</v>
      </c>
      <c r="F214" s="5" t="str">
        <f>_xlfn.XLOOKUP(C214,[2]Classes!$A$2:$A$500,[2]Classes!$C$2:$C$500)</f>
        <v>FLAG</v>
      </c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</row>
    <row r="215" spans="1:22" x14ac:dyDescent="0.25">
      <c r="A215">
        <f t="shared" si="3"/>
        <v>212</v>
      </c>
      <c r="B215" s="5" t="s">
        <v>88</v>
      </c>
      <c r="C215" s="5" t="s">
        <v>305</v>
      </c>
      <c r="D215" s="8" t="str">
        <f>IFERROR(HYPERLINK(_xlfn.XLOOKUP(C215,'[1]CTR PUB MAN'!$BC$2:$BC$500,'[1]CTR PUB MAN'!$D$2:$D$500),_xlfn.XLOOKUP(C215,'[1]CTR PUB MAN'!$BC$2:$BC$500,'[1]CTR PUB MAN'!$D$2:$D$500)),"")</f>
        <v>https://is.gd/psUS8P</v>
      </c>
      <c r="E215" s="5" t="str">
        <f>_xlfn.XLOOKUP(C215,[2]Classes!$A$2:$A$500,[2]Classes!$D$2:$D$500)</f>
        <v>GROUPEMENT DES ACTEURS DU SECTEUR FORESTIER DU CAMEROUN (GASFC )</v>
      </c>
      <c r="F215" s="5" t="str">
        <f>_xlfn.XLOOKUP(C215,[2]Classes!$A$2:$A$500,[2]Classes!$C$2:$C$500)</f>
        <v>FLAG</v>
      </c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</row>
    <row r="216" spans="1:22" x14ac:dyDescent="0.25">
      <c r="A216">
        <f t="shared" si="3"/>
        <v>213</v>
      </c>
      <c r="B216" s="5" t="s">
        <v>88</v>
      </c>
      <c r="C216" s="5" t="s">
        <v>306</v>
      </c>
      <c r="D216" s="8" t="str">
        <f>IFERROR(HYPERLINK(_xlfn.XLOOKUP(C216,'[1]CTR PUB MAN'!$BC$2:$BC$500,'[1]CTR PUB MAN'!$D$2:$D$500),_xlfn.XLOOKUP(C216,'[1]CTR PUB MAN'!$BC$2:$BC$500,'[1]CTR PUB MAN'!$D$2:$D$500)),"")</f>
        <v/>
      </c>
      <c r="E216" s="5" t="str">
        <f>_xlfn.XLOOKUP(C216,[2]Classes!$A$2:$A$500,[2]Classes!$D$2:$D$500)</f>
        <v>GROUPEMENT DES ACTEURS DU SECTEUR FORESTIER DU CAMEROUN (GASFC )</v>
      </c>
      <c r="F216" s="5" t="str">
        <f>_xlfn.XLOOKUP(C216,[2]Classes!$A$2:$A$500,[2]Classes!$C$2:$C$500)</f>
        <v>FLAG</v>
      </c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</row>
    <row r="217" spans="1:22" x14ac:dyDescent="0.25">
      <c r="A217">
        <f t="shared" si="3"/>
        <v>214</v>
      </c>
      <c r="B217" s="5" t="s">
        <v>88</v>
      </c>
      <c r="C217" s="5" t="s">
        <v>307</v>
      </c>
      <c r="D217" s="8" t="str">
        <f>IFERROR(HYPERLINK(_xlfn.XLOOKUP(C217,'[1]CTR PUB MAN'!$BC$2:$BC$500,'[1]CTR PUB MAN'!$D$2:$D$500),_xlfn.XLOOKUP(C217,'[1]CTR PUB MAN'!$BC$2:$BC$500,'[1]CTR PUB MAN'!$D$2:$D$500)),"")</f>
        <v/>
      </c>
      <c r="E217" s="5" t="str">
        <f>_xlfn.XLOOKUP(C217,[2]Classes!$A$2:$A$500,[2]Classes!$D$2:$D$500)</f>
        <v>GROUPEMENT DES ACTEURS DU SECTEUR FORESTIER DU CAMEROUN (GASFC )</v>
      </c>
      <c r="F217" s="5" t="str">
        <f>_xlfn.XLOOKUP(C217,[2]Classes!$A$2:$A$500,[2]Classes!$C$2:$C$500)</f>
        <v>FLAG</v>
      </c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</row>
    <row r="218" spans="1:22" x14ac:dyDescent="0.25">
      <c r="A218">
        <f t="shared" si="3"/>
        <v>215</v>
      </c>
      <c r="B218" s="5" t="s">
        <v>88</v>
      </c>
      <c r="C218" s="5" t="s">
        <v>308</v>
      </c>
      <c r="D218" s="8" t="str">
        <f>IFERROR(HYPERLINK(_xlfn.XLOOKUP(C218,'[1]CTR PUB MAN'!$BC$2:$BC$500,'[1]CTR PUB MAN'!$D$2:$D$500),_xlfn.XLOOKUP(C218,'[1]CTR PUB MAN'!$BC$2:$BC$500,'[1]CTR PUB MAN'!$D$2:$D$500)),"")</f>
        <v/>
      </c>
      <c r="E218" s="5" t="str">
        <f>_xlfn.XLOOKUP(C218,[2]Classes!$A$2:$A$500,[2]Classes!$D$2:$D$500)</f>
        <v>GROUPEMENT DES ACTEURS DU SECTEUR FORESTIER DU CAMEROUN (GASFC )</v>
      </c>
      <c r="F218" s="5" t="str">
        <f>_xlfn.XLOOKUP(C218,[2]Classes!$A$2:$A$500,[2]Classes!$C$2:$C$500)</f>
        <v>FLAG</v>
      </c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</row>
    <row r="219" spans="1:22" x14ac:dyDescent="0.25">
      <c r="A219">
        <f t="shared" si="3"/>
        <v>216</v>
      </c>
      <c r="B219" s="5" t="s">
        <v>88</v>
      </c>
      <c r="C219" s="5" t="s">
        <v>309</v>
      </c>
      <c r="D219" s="8" t="str">
        <f>IFERROR(HYPERLINK(_xlfn.XLOOKUP(C219,'[1]CTR PUB MAN'!$BC$2:$BC$500,'[1]CTR PUB MAN'!$D$2:$D$500),_xlfn.XLOOKUP(C219,'[1]CTR PUB MAN'!$BC$2:$BC$500,'[1]CTR PUB MAN'!$D$2:$D$500)),"")</f>
        <v/>
      </c>
      <c r="E219" s="5" t="str">
        <f>_xlfn.XLOOKUP(C219,[2]Classes!$A$2:$A$500,[2]Classes!$D$2:$D$500)</f>
        <v>GROUPEMENT DES ACTEURS DU SECTEUR FORESTIER DU CAMEROUN (GASFC )</v>
      </c>
      <c r="F219" s="5" t="str">
        <f>_xlfn.XLOOKUP(C219,[2]Classes!$A$2:$A$500,[2]Classes!$C$2:$C$500)</f>
        <v>FLAG</v>
      </c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</row>
    <row r="220" spans="1:22" x14ac:dyDescent="0.25">
      <c r="A220">
        <f t="shared" si="3"/>
        <v>217</v>
      </c>
      <c r="B220" s="5" t="s">
        <v>89</v>
      </c>
      <c r="C220" s="5" t="s">
        <v>310</v>
      </c>
      <c r="D220" s="8" t="str">
        <f>IFERROR(HYPERLINK(_xlfn.XLOOKUP(C220,'[1]CTR PUB MAN'!$BC$2:$BC$500,'[1]CTR PUB MAN'!$D$2:$D$500),_xlfn.XLOOKUP(C220,'[1]CTR PUB MAN'!$BC$2:$BC$500,'[1]CTR PUB MAN'!$D$2:$D$500)),"")</f>
        <v>https://is.gd/VItF5m</v>
      </c>
      <c r="E220" s="5" t="str">
        <f>_xlfn.XLOOKUP(C220,[2]Classes!$A$2:$A$500,[2]Classes!$D$2:$D$500)</f>
        <v>HAPPY FARMERS CIG</v>
      </c>
      <c r="F220" s="5" t="str">
        <f>_xlfn.XLOOKUP(C220,[2]Classes!$A$2:$A$500,[2]Classes!$C$2:$C$500)</f>
        <v>AQUACULTURE STATION AND TRAINING CENTER, BAROMBI-KANG, KUMBA (SA KUMBA)</v>
      </c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</row>
    <row r="221" spans="1:22" x14ac:dyDescent="0.25">
      <c r="A221">
        <f t="shared" si="3"/>
        <v>218</v>
      </c>
      <c r="B221" s="5" t="s">
        <v>90</v>
      </c>
      <c r="C221" s="5" t="s">
        <v>311</v>
      </c>
      <c r="D221" s="8" t="str">
        <f>IFERROR(HYPERLINK(_xlfn.XLOOKUP(C221,'[1]CTR PUB MAN'!$BC$2:$BC$500,'[1]CTR PUB MAN'!$D$2:$D$500),_xlfn.XLOOKUP(C221,'[1]CTR PUB MAN'!$BC$2:$BC$500,'[1]CTR PUB MAN'!$D$2:$D$500)),"")</f>
        <v>https://is.gd/HVh27P</v>
      </c>
      <c r="E221" s="5" t="str">
        <f>_xlfn.XLOOKUP(C221,[2]Classes!$A$2:$A$500,[2]Classes!$D$2:$D$500)</f>
        <v>GROUPEMENT INTERPROFESSIONNEL DES ARTISANS (GIPA)</v>
      </c>
      <c r="F221" s="5" t="str">
        <f>_xlfn.XLOOKUP(C221,[2]Classes!$A$2:$A$500,[2]Classes!$C$2:$C$500)</f>
        <v>IFP CHEC</v>
      </c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</row>
    <row r="222" spans="1:22" x14ac:dyDescent="0.25">
      <c r="A222">
        <f t="shared" si="3"/>
        <v>219</v>
      </c>
      <c r="B222" s="5" t="s">
        <v>91</v>
      </c>
      <c r="C222" s="5" t="s">
        <v>312</v>
      </c>
      <c r="D222" s="8" t="str">
        <f>IFERROR(HYPERLINK(_xlfn.XLOOKUP(C222,'[1]CTR PUB MAN'!$BC$2:$BC$500,'[1]CTR PUB MAN'!$D$2:$D$500),_xlfn.XLOOKUP(C222,'[1]CTR PUB MAN'!$BC$2:$BC$500,'[1]CTR PUB MAN'!$D$2:$D$500)),"")</f>
        <v>https://is.gd/NhiPL3</v>
      </c>
      <c r="E222" s="5" t="str">
        <f>_xlfn.XLOOKUP(C222,[2]Classes!$A$2:$A$500,[2]Classes!$D$2:$D$500)</f>
        <v>COMITE DE PROGRES POUR L'AGRICULTURE ET L'ELEVAGE D'ENYENG (COPROGENY - COOPCA)</v>
      </c>
      <c r="F222" s="5" t="str">
        <f>_xlfn.XLOOKUP(C222,[2]Classes!$A$2:$A$500,[2]Classes!$C$2:$C$500)</f>
        <v>Cabinet KEYS OF SERVICES</v>
      </c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</row>
    <row r="223" spans="1:22" x14ac:dyDescent="0.25">
      <c r="A223">
        <f t="shared" si="3"/>
        <v>220</v>
      </c>
      <c r="B223" s="5" t="s">
        <v>91</v>
      </c>
      <c r="C223" s="5" t="s">
        <v>313</v>
      </c>
      <c r="D223" s="8" t="str">
        <f>IFERROR(HYPERLINK(_xlfn.XLOOKUP(C223,'[1]CTR PUB MAN'!$BC$2:$BC$500,'[1]CTR PUB MAN'!$D$2:$D$500),_xlfn.XLOOKUP(C223,'[1]CTR PUB MAN'!$BC$2:$BC$500,'[1]CTR PUB MAN'!$D$2:$D$500)),"")</f>
        <v>https://is.gd/tx9vJw</v>
      </c>
      <c r="E223" s="5" t="str">
        <f>_xlfn.XLOOKUP(C223,[2]Classes!$A$2:$A$500,[2]Classes!$D$2:$D$500)</f>
        <v>COMITE DE PROGRES POUR L'AGRICULTURE ET L'ELEVAGE D'ENYENG (COPROGENY - COOPCA)</v>
      </c>
      <c r="F223" s="5" t="str">
        <f>_xlfn.XLOOKUP(C223,[2]Classes!$A$2:$A$500,[2]Classes!$C$2:$C$500)</f>
        <v>Cabinet KEYS OF SERVICES</v>
      </c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</row>
    <row r="224" spans="1:22" x14ac:dyDescent="0.25">
      <c r="A224">
        <f t="shared" si="3"/>
        <v>221</v>
      </c>
      <c r="B224" s="5" t="s">
        <v>91</v>
      </c>
      <c r="C224" s="5" t="s">
        <v>314</v>
      </c>
      <c r="D224" s="8" t="str">
        <f>IFERROR(HYPERLINK(_xlfn.XLOOKUP(C224,'[1]CTR PUB MAN'!$BC$2:$BC$500,'[1]CTR PUB MAN'!$D$2:$D$500),_xlfn.XLOOKUP(C224,'[1]CTR PUB MAN'!$BC$2:$BC$500,'[1]CTR PUB MAN'!$D$2:$D$500)),"")</f>
        <v/>
      </c>
      <c r="E224" s="5" t="str">
        <f>_xlfn.XLOOKUP(C224,[2]Classes!$A$2:$A$500,[2]Classes!$D$2:$D$500)</f>
        <v>COMITE DE PROGRES POUR L'AGRICULTURE ET L'ELEVAGE D'ENYENG (COPROGENY - COOPCA)</v>
      </c>
      <c r="F224" s="5" t="str">
        <f>_xlfn.XLOOKUP(C224,[2]Classes!$A$2:$A$500,[2]Classes!$C$2:$C$500)</f>
        <v>Cabinet KEYS OF SERVICES</v>
      </c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</row>
    <row r="225" spans="1:22" x14ac:dyDescent="0.25">
      <c r="A225">
        <f t="shared" si="3"/>
        <v>222</v>
      </c>
      <c r="B225" s="5" t="s">
        <v>92</v>
      </c>
      <c r="C225" s="5" t="s">
        <v>315</v>
      </c>
      <c r="D225" s="8" t="str">
        <f>IFERROR(HYPERLINK(_xlfn.XLOOKUP(C225,'[1]CTR PUB MAN'!$BC$2:$BC$500,'[1]CTR PUB MAN'!$D$2:$D$500),_xlfn.XLOOKUP(C225,'[1]CTR PUB MAN'!$BC$2:$BC$500,'[1]CTR PUB MAN'!$D$2:$D$500)),"")</f>
        <v>https://is.gd/mBvCpi</v>
      </c>
      <c r="E225" s="5" t="str">
        <f>_xlfn.XLOOKUP(C225,[2]Classes!$A$2:$A$500,[2]Classes!$D$2:$D$500)</f>
        <v>PROMINENT YOUTH FOR EFFICIENT DEVELOPMENT AND MUTUAL ASSISTANCE CIG</v>
      </c>
      <c r="F225" s="5" t="str">
        <f>_xlfn.XLOOKUP(C225,[2]Classes!$A$2:$A$500,[2]Classes!$C$2:$C$500)</f>
        <v>AMIFO CIG</v>
      </c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</row>
    <row r="226" spans="1:22" x14ac:dyDescent="0.25">
      <c r="A226">
        <f t="shared" si="3"/>
        <v>223</v>
      </c>
      <c r="B226" s="5" t="s">
        <v>93</v>
      </c>
      <c r="C226" s="5" t="s">
        <v>316</v>
      </c>
      <c r="D226" s="8" t="str">
        <f>IFERROR(HYPERLINK(_xlfn.XLOOKUP(C226,'[1]CTR PUB MAN'!$BC$2:$BC$500,'[1]CTR PUB MAN'!$D$2:$D$500),_xlfn.XLOOKUP(C226,'[1]CTR PUB MAN'!$BC$2:$BC$500,'[1]CTR PUB MAN'!$D$2:$D$500)),"")</f>
        <v>https://is.gd/397yX0</v>
      </c>
      <c r="E226" s="5" t="str">
        <f>_xlfn.XLOOKUP(C226,[2]Classes!$A$2:$A$500,[2]Classes!$D$2:$D$500)</f>
        <v>ASSOCIATION FEMMES EN ACTION (AFEA)</v>
      </c>
      <c r="F226" s="5" t="str">
        <f>_xlfn.XLOOKUP(C226,[2]Classes!$A$2:$A$500,[2]Classes!$C$2:$C$500)</f>
        <v>CRA D'EBOLOWA</v>
      </c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</row>
    <row r="227" spans="1:22" x14ac:dyDescent="0.25">
      <c r="A227">
        <f t="shared" si="3"/>
        <v>224</v>
      </c>
      <c r="B227" s="5" t="s">
        <v>94</v>
      </c>
      <c r="C227" s="5" t="s">
        <v>317</v>
      </c>
      <c r="D227" s="8" t="str">
        <f>IFERROR(HYPERLINK(_xlfn.XLOOKUP(C227,'[1]CTR PUB MAN'!$BC$2:$BC$500,'[1]CTR PUB MAN'!$D$2:$D$500),_xlfn.XLOOKUP(C227,'[1]CTR PUB MAN'!$BC$2:$BC$500,'[1]CTR PUB MAN'!$D$2:$D$500)),"")</f>
        <v>https://is.gd/CO6R7A</v>
      </c>
      <c r="E227" s="5" t="str">
        <f>_xlfn.XLOOKUP(C227,[2]Classes!$A$2:$A$500,[2]Classes!$D$2:$D$500)</f>
        <v>GIC JAECIK</v>
      </c>
      <c r="F227" s="5" t="str">
        <f>_xlfn.XLOOKUP(C227,[2]Classes!$A$2:$A$500,[2]Classes!$C$2:$C$500)</f>
        <v>DREAM AGRO CONSULTING</v>
      </c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</row>
    <row r="228" spans="1:22" x14ac:dyDescent="0.25">
      <c r="A228">
        <f t="shared" si="3"/>
        <v>225</v>
      </c>
      <c r="B228" s="5" t="s">
        <v>94</v>
      </c>
      <c r="C228" s="5" t="s">
        <v>318</v>
      </c>
      <c r="D228" s="8" t="str">
        <f>IFERROR(HYPERLINK(_xlfn.XLOOKUP(C228,'[1]CTR PUB MAN'!$BC$2:$BC$500,'[1]CTR PUB MAN'!$D$2:$D$500),_xlfn.XLOOKUP(C228,'[1]CTR PUB MAN'!$BC$2:$BC$500,'[1]CTR PUB MAN'!$D$2:$D$500)),"")</f>
        <v/>
      </c>
      <c r="E228" s="5" t="str">
        <f>_xlfn.XLOOKUP(C228,[2]Classes!$A$2:$A$500,[2]Classes!$D$2:$D$500)</f>
        <v>GIC JAECIK</v>
      </c>
      <c r="F228" s="5" t="str">
        <f>_xlfn.XLOOKUP(C228,[2]Classes!$A$2:$A$500,[2]Classes!$C$2:$C$500)</f>
        <v>DREAM AGRO CONSULTING</v>
      </c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</row>
    <row r="229" spans="1:22" x14ac:dyDescent="0.25">
      <c r="A229">
        <f t="shared" si="3"/>
        <v>226</v>
      </c>
      <c r="B229" s="5" t="s">
        <v>95</v>
      </c>
      <c r="C229" s="5" t="s">
        <v>319</v>
      </c>
      <c r="D229" s="8" t="str">
        <f>IFERROR(HYPERLINK(_xlfn.XLOOKUP(C229,'[1]CTR PUB MAN'!$BC$2:$BC$500,'[1]CTR PUB MAN'!$D$2:$D$500),_xlfn.XLOOKUP(C229,'[1]CTR PUB MAN'!$BC$2:$BC$500,'[1]CTR PUB MAN'!$D$2:$D$500)),"")</f>
        <v>https://is.gd/2aA4Uk</v>
      </c>
      <c r="E229" s="5" t="str">
        <f>_xlfn.XLOOKUP(C229,[2]Classes!$A$2:$A$500,[2]Classes!$D$2:$D$500)</f>
        <v>WESTERN BAKOSSI LIVESTOCK AND ENVIRONMENTAL PRESERVATION CO-OPERATIVE SOCIETY (WEBALEPCO)</v>
      </c>
      <c r="F229" s="5" t="str">
        <f>_xlfn.XLOOKUP(C229,[2]Classes!$A$2:$A$500,[2]Classes!$C$2:$C$500)</f>
        <v>AMIFO CIG</v>
      </c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</row>
  </sheetData>
  <mergeCells count="3">
    <mergeCell ref="G2:J2"/>
    <mergeCell ref="D2:F2"/>
    <mergeCell ref="K2:R2"/>
  </mergeCells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8BAFB6C5E869C4785C72FA48831FCEB" ma:contentTypeVersion="21" ma:contentTypeDescription="Crée un document." ma:contentTypeScope="" ma:versionID="64c818f039e7c64fa12aa59192c19de8">
  <xsd:schema xmlns:xsd="http://www.w3.org/2001/XMLSchema" xmlns:xs="http://www.w3.org/2001/XMLSchema" xmlns:p="http://schemas.microsoft.com/office/2006/metadata/properties" xmlns:ns2="a02e5363-aefc-4e64-9fed-e4322bbc055e" xmlns:ns3="c87b3f2c-8b4d-498a-9faf-33ba978ed67b" targetNamespace="http://schemas.microsoft.com/office/2006/metadata/properties" ma:root="true" ma:fieldsID="1dc5447bba8043144110dfc06f52fe7d" ns2:_="" ns3:_="">
    <xsd:import namespace="a02e5363-aefc-4e64-9fed-e4322bbc055e"/>
    <xsd:import namespace="c87b3f2c-8b4d-498a-9faf-33ba978ed6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  <xsd:element ref="ns2:Prestatai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2e5363-aefc-4e64-9fed-e4322bbc05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84995b8b-2e27-4930-aea7-85b871cca8d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4" nillable="true" ma:displayName="État de validation" ma:internalName="_x00c9_tat_x0020_de_x0020_validation">
      <xsd:simpleType>
        <xsd:restriction base="dms:Text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restataire" ma:index="27" nillable="true" ma:displayName="Prestataire" ma:format="Dropdown" ma:internalName="Prestataire">
      <xsd:simpleType>
        <xsd:restriction base="dms:Text">
          <xsd:maxLength value="255"/>
        </xsd:restriction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7b3f2c-8b4d-498a-9faf-33ba978ed67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48736c2a-76a1-4ff6-a68b-af95a158cea9}" ma:internalName="TaxCatchAll" ma:showField="CatchAllData" ma:web="c87b3f2c-8b4d-498a-9faf-33ba978ed6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a02e5363-aefc-4e64-9fed-e4322bbc055e" xsi:nil="true"/>
    <lcf76f155ced4ddcb4097134ff3c332f xmlns="a02e5363-aefc-4e64-9fed-e4322bbc055e">
      <Terms xmlns="http://schemas.microsoft.com/office/infopath/2007/PartnerControls"/>
    </lcf76f155ced4ddcb4097134ff3c332f>
    <TaxCatchAll xmlns="c87b3f2c-8b4d-498a-9faf-33ba978ed67b" xsi:nil="true"/>
    <Prestataire xmlns="a02e5363-aefc-4e64-9fed-e4322bbc055e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E283F38-77B9-479D-953E-820CA30000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5BE799A-44A8-4968-9EF7-B05ADF2356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02e5363-aefc-4e64-9fed-e4322bbc055e"/>
    <ds:schemaRef ds:uri="c87b3f2c-8b4d-498a-9faf-33ba978ed6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21129C-98D8-43AF-B157-41DD268AE676}">
  <ds:schemaRefs>
    <ds:schemaRef ds:uri="http://schemas.microsoft.com/office/2006/metadata/properties"/>
    <ds:schemaRef ds:uri="http://schemas.microsoft.com/office/infopath/2007/PartnerControls"/>
    <ds:schemaRef ds:uri="a02e5363-aefc-4e64-9fed-e4322bbc055e"/>
    <ds:schemaRef ds:uri="c87b3f2c-8b4d-498a-9faf-33ba978ed67b"/>
  </ds:schemaRefs>
</ds:datastoreItem>
</file>

<file path=customXml/itemProps4.xml><?xml version="1.0" encoding="utf-8"?>
<ds:datastoreItem xmlns:ds="http://schemas.openxmlformats.org/officeDocument/2006/customXml" ds:itemID="{F8F59FD8-83CC-440B-9B19-BB0E016303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Enquête de satisfaction</vt:lpstr>
      <vt:lpstr>Enquête de formateur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Direction NAUMUR</dc:creator>
  <cp:keywords/>
  <dc:description/>
  <cp:lastModifiedBy>Direction NAUMUR</cp:lastModifiedBy>
  <cp:revision/>
  <dcterms:created xsi:type="dcterms:W3CDTF">2026-03-31T17:28:50Z</dcterms:created>
  <dcterms:modified xsi:type="dcterms:W3CDTF">2026-04-02T16:49:45Z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0x01010038BAFB6C5E869C4785C72FA48831FCEB</vt:lpwstr>
  </property>
  <property fmtid="{D5CDD505-2E9C-101B-9397-08002B2CF9AE}" pid="3" name="MediaServiceImageTags">
    <vt:lpwstr/>
  </property>
</Properties>
</file>